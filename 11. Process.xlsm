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wsSortMap1.xml" ContentType="application/vnd.ms-excel.wsSortMap+xml"/>
  <Override PartName="/xl/worksheets/wsSortMap2.xml" ContentType="application/vnd.ms-excel.wsSortMap+xml"/>
  <Override PartName="/xl/worksheets/wsSortMap3.xml" ContentType="application/vnd.ms-excel.wsSortMap+xml"/>
  <Override PartName="/xl/worksheets/wsSortMap4.xml" ContentType="application/vnd.ms-excel.wsSortMap+xml"/>
  <Override PartName="/xl/worksheets/wsSortMap5.xml" ContentType="application/vnd.ms-excel.wsSortMap+xml"/>
  <Override PartName="/xl/calcChain.xml" ContentType="application/vnd.openxmlformats-officedocument.spreadsheetml.calcChain+xml"/>
  <Override PartName="/xl/vbaProject.bin" ContentType="application/vnd.ms-office.vbaProject"/>
  <Override PartName="/xl/revisions/userNames.xml" ContentType="application/vnd.openxmlformats-officedocument.spreadsheetml.userNames+xml"/>
  <Override PartName="/xl/revisions/revisionHeaders.xml" ContentType="application/vnd.openxmlformats-officedocument.spreadsheetml.revisionHeaders+xml"/>
  <Override PartName="/docProps/core.xml" ContentType="application/vnd.openxmlformats-package.core-properties+xml"/>
  <Override PartName="/docProps/app.xml" ContentType="application/vnd.openxmlformats-officedocument.extended-properties+xml"/>
  <Override PartName="/xl/revisions/revisionLog11.xml" ContentType="application/vnd.openxmlformats-officedocument.spreadsheetml.revisionLog+xml"/>
  <Override PartName="/xl/revisions/revisionLog12.xml" ContentType="application/vnd.openxmlformats-officedocument.spreadsheetml.revisionLog+xml"/>
  <Override PartName="/xl/revisions/revisionLog13.xml" ContentType="application/vnd.openxmlformats-officedocument.spreadsheetml.revisionLog+xml"/>
  <Override PartName="/xl/revisions/revisionLog14.xml" ContentType="application/vnd.openxmlformats-officedocument.spreadsheetml.revisionLog+xml"/>
  <Override PartName="/xl/revisions/revisionLog131.xml" ContentType="application/vnd.openxmlformats-officedocument.spreadsheetml.revisionLog+xml"/>
  <Override PartName="/xl/revisions/revisionLog141.xml" ContentType="application/vnd.openxmlformats-officedocument.spreadsheetml.revisionLog+xml"/>
  <Override PartName="/xl/revisions/revisionLog121.xml" ContentType="application/vnd.openxmlformats-officedocument.spreadsheetml.revisionLog+xml"/>
  <Override PartName="/xl/revisions/revisionLog111.xml" ContentType="application/vnd.openxmlformats-officedocument.spreadsheetml.revisionLog+xml"/>
  <Override PartName="/xl/revisions/revisionLog1311.xml" ContentType="application/vnd.openxmlformats-officedocument.spreadsheetml.revisionLog+xml"/>
  <Override PartName="/xl/revisions/revisionLog16.xml" ContentType="application/vnd.openxmlformats-officedocument.spreadsheetml.revisionLog+xml"/>
  <Override PartName="/xl/revisions/revisionLog17.xml" ContentType="application/vnd.openxmlformats-officedocument.spreadsheetml.revisionLog+xml"/>
  <Override PartName="/xl/revisions/revisionLog1211.xml" ContentType="application/vnd.openxmlformats-officedocument.spreadsheetml.revisionLog+xml"/>
  <Override PartName="/xl/revisions/revisionLog1411.xml" ContentType="application/vnd.openxmlformats-officedocument.spreadsheetml.revisionLog+xml"/>
  <Override PartName="/xl/revisions/revisionLog15.xml" ContentType="application/vnd.openxmlformats-officedocument.spreadsheetml.revisionLog+xml"/>
  <Override PartName="/xl/revisions/revisionLog18.xml" ContentType="application/vnd.openxmlformats-officedocument.spreadsheetml.revisionLog+xml"/>
  <Override PartName="/xl/revisions/revisionLog19.xml" ContentType="application/vnd.openxmlformats-officedocument.spreadsheetml.revisionLog+xml"/>
  <Override PartName="/xl/revisions/revisionLog110.xml" ContentType="application/vnd.openxmlformats-officedocument.spreadsheetml.revisionLog+xml"/>
  <Override PartName="/xl/revisions/revisionLog112.xml" ContentType="application/vnd.openxmlformats-officedocument.spreadsheetml.revisionLog+xml"/>
  <Override PartName="/xl/revisions/revisionLog144.xml" ContentType="application/vnd.openxmlformats-officedocument.spreadsheetml.revisionLog+xml"/>
  <Override PartName="/xl/revisions/revisionLog1101.xml" ContentType="application/vnd.openxmlformats-officedocument.spreadsheetml.revisionLog+xml"/>
  <Override PartName="/xl/revisions/revisionLog1121.xml" ContentType="application/vnd.openxmlformats-officedocument.spreadsheetml.revisionLog+xml"/>
  <Override PartName="/xl/revisions/revisionLog113.xml" ContentType="application/vnd.openxmlformats-officedocument.spreadsheetml.revisionLog+xml"/>
  <Override PartName="/xl/revisions/revisionLog12111.xml" ContentType="application/vnd.openxmlformats-officedocument.spreadsheetml.revisionLog+xml"/>
  <Override PartName="/xl/revisions/revisionLog148.xml" ContentType="application/vnd.openxmlformats-officedocument.spreadsheetml.revisionLog+xml"/>
  <Override PartName="/xl/revisions/revisionLog153.xml" ContentType="application/vnd.openxmlformats-officedocument.spreadsheetml.revisionLog+xml"/>
  <Override PartName="/xl/revisions/revisionLog151.xml" ContentType="application/vnd.openxmlformats-officedocument.spreadsheetml.revisionLog+xml"/>
  <Override PartName="/xl/revisions/revisionLog161.xml" ContentType="application/vnd.openxmlformats-officedocument.spreadsheetml.revisionLog+xml"/>
  <Override PartName="/xl/revisions/revisionLog191.xml" ContentType="application/vnd.openxmlformats-officedocument.spreadsheetml.revisionLog+xml"/>
  <Override PartName="/xl/revisions/revisionLog152.xml" ContentType="application/vnd.openxmlformats-officedocument.spreadsheetml.revisionLog+xml"/>
  <Override PartName="/xl/revisions/revisionLog181.xml" ContentType="application/vnd.openxmlformats-officedocument.spreadsheetml.revisionLog+xml"/>
  <Override PartName="/xl/revisions/revisionLog114.xml" ContentType="application/vnd.openxmlformats-officedocument.spreadsheetml.revisionLog+xml"/>
  <Override PartName="/xl/revisions/revisionLog11011.xml" ContentType="application/vnd.openxmlformats-officedocument.spreadsheetml.revisionLog+xml"/>
  <Override PartName="/xl/revisions/revisionLog116.xml" ContentType="application/vnd.openxmlformats-officedocument.spreadsheetml.revisionLog+xml"/>
  <Override PartName="/xl/revisions/revisionLog1161.xml" ContentType="application/vnd.openxmlformats-officedocument.spreadsheetml.revisionLog+xml"/>
  <Override PartName="/xl/revisions/revisionLog115.xml" ContentType="application/vnd.openxmlformats-officedocument.spreadsheetml.revisionLog+xml"/>
  <Override PartName="/xl/revisions/revisionLog1131.xml" ContentType="application/vnd.openxmlformats-officedocument.spreadsheetml.revisionLog+xml"/>
  <Override PartName="/xl/revisions/revisionLog13211.xml" ContentType="application/vnd.openxmlformats-officedocument.spreadsheetml.revisionLog+xml"/>
  <Override PartName="/xl/revisions/revisionLog1811.xml" ContentType="application/vnd.openxmlformats-officedocument.spreadsheetml.revisionLog+xml"/>
  <Override PartName="/xl/revisions/revisionLog145.xml" ContentType="application/vnd.openxmlformats-officedocument.spreadsheetml.revisionLog+xml"/>
  <Override PartName="/xl/revisions/revisionLog146.xml" ContentType="application/vnd.openxmlformats-officedocument.spreadsheetml.revisionLog+xml"/>
  <Override PartName="/xl/revisions/revisionLog154.xml" ContentType="application/vnd.openxmlformats-officedocument.spreadsheetml.revisionLog+xml"/>
  <Override PartName="/xl/revisions/revisionLog18111.xml" ContentType="application/vnd.openxmlformats-officedocument.spreadsheetml.revisionLog+xml"/>
  <Override PartName="/xl/revisions/revisionLog1911.xml" ContentType="application/vnd.openxmlformats-officedocument.spreadsheetml.revisionLog+xml"/>
  <Override PartName="/xl/revisions/revisionLog1141.xml" ContentType="application/vnd.openxmlformats-officedocument.spreadsheetml.revisionLog+xml"/>
  <Override PartName="/xl/revisions/revisionLog14111.xml" ContentType="application/vnd.openxmlformats-officedocument.spreadsheetml.revisionLog+xml"/>
  <Override PartName="/xl/revisions/revisionLog1812.xml" ContentType="application/vnd.openxmlformats-officedocument.spreadsheetml.revisionLog+xml"/>
  <Override PartName="/xl/revisions/revisionLog117.xml" ContentType="application/vnd.openxmlformats-officedocument.spreadsheetml.revisionLog+xml"/>
  <Override PartName="/xl/revisions/revisionLog119.xml" ContentType="application/vnd.openxmlformats-officedocument.spreadsheetml.revisionLog+xml"/>
  <Override PartName="/xl/revisions/revisionLog110111.xml" ContentType="application/vnd.openxmlformats-officedocument.spreadsheetml.revisionLog+xml"/>
  <Override PartName="/xl/revisions/revisionLog11511.xml" ContentType="application/vnd.openxmlformats-officedocument.spreadsheetml.revisionLog+xml"/>
  <Override PartName="/xl/revisions/revisionLog11311.xml" ContentType="application/vnd.openxmlformats-officedocument.spreadsheetml.revisionLog+xml"/>
  <Override PartName="/xl/revisions/revisionLog11611.xml" ContentType="application/vnd.openxmlformats-officedocument.spreadsheetml.revisionLog+xml"/>
  <Override PartName="/xl/revisions/revisionLog118.xml" ContentType="application/vnd.openxmlformats-officedocument.spreadsheetml.revisionLog+xml"/>
  <Override PartName="/xl/revisions/revisionLog120.xml" ContentType="application/vnd.openxmlformats-officedocument.spreadsheetml.revisionLog+xml"/>
  <Override PartName="/xl/revisions/revisionLog112111.xml" ContentType="application/vnd.openxmlformats-officedocument.spreadsheetml.revisionLog+xml"/>
  <Override PartName="/xl/revisions/revisionLog1181.xml" ContentType="application/vnd.openxmlformats-officedocument.spreadsheetml.revisionLog+xml"/>
  <Override PartName="/xl/revisions/revisionLog1201.xml" ContentType="application/vnd.openxmlformats-officedocument.spreadsheetml.revisionLog+xml"/>
  <Override PartName="/xl/revisions/revisionLog1132.xml" ContentType="application/vnd.openxmlformats-officedocument.spreadsheetml.revisionLog+xml"/>
  <Override PartName="/xl/revisions/revisionLog1152.xml" ContentType="application/vnd.openxmlformats-officedocument.spreadsheetml.revisionLog+xml"/>
  <Override PartName="/xl/revisions/revisionLog122.xml" ContentType="application/vnd.openxmlformats-officedocument.spreadsheetml.revisionLog+xml"/>
  <Override PartName="/xl/revisions/revisionLog1133.xml" ContentType="application/vnd.openxmlformats-officedocument.spreadsheetml.revisionLog+xml"/>
  <Override PartName="/xl/revisions/revisionLog123.xml" ContentType="application/vnd.openxmlformats-officedocument.spreadsheetml.revisionLog+xml"/>
  <Override PartName="/xl/revisions/revisionLog1451.xml" ContentType="application/vnd.openxmlformats-officedocument.spreadsheetml.revisionLog+xml"/>
  <Override PartName="/xl/revisions/revisionLog17111.xml" ContentType="application/vnd.openxmlformats-officedocument.spreadsheetml.revisionLog+xml"/>
  <Override PartName="/xl/revisions/revisionLog1541.xml" ContentType="application/vnd.openxmlformats-officedocument.spreadsheetml.revisionLog+xml"/>
  <Override PartName="/xl/revisions/revisionLog149.xml" ContentType="application/vnd.openxmlformats-officedocument.spreadsheetml.revisionLog+xml"/>
  <Override PartName="/xl/revisions/revisionLog14511.xml" ContentType="application/vnd.openxmlformats-officedocument.spreadsheetml.revisionLog+xml"/>
  <Override PartName="/xl/revisions/revisionLog1110.xml" ContentType="application/vnd.openxmlformats-officedocument.spreadsheetml.revisionLog+xml"/>
  <Override PartName="/xl/revisions/revisionLog16111.xml" ContentType="application/vnd.openxmlformats-officedocument.spreadsheetml.revisionLog+xml"/>
  <Override PartName="/xl/revisions/revisionLog181111.xml" ContentType="application/vnd.openxmlformats-officedocument.spreadsheetml.revisionLog+xml"/>
  <Override PartName="/xl/revisions/revisionLog19111.xml" ContentType="application/vnd.openxmlformats-officedocument.spreadsheetml.revisionLog+xml"/>
  <Override PartName="/xl/revisions/revisionLog11411.xml" ContentType="application/vnd.openxmlformats-officedocument.spreadsheetml.revisionLog+xml"/>
  <Override PartName="/xl/revisions/revisionLog1171.xml" ContentType="application/vnd.openxmlformats-officedocument.spreadsheetml.revisionLog+xml"/>
  <Override PartName="/xl/revisions/revisionLog12011.xml" ContentType="application/vnd.openxmlformats-officedocument.spreadsheetml.revisionLog+xml"/>
  <Override PartName="/xl/revisions/revisionLog1521.xml" ContentType="application/vnd.openxmlformats-officedocument.spreadsheetml.revisionLog+xml"/>
  <Override PartName="/xl/revisions/revisionLog1221.xml" ContentType="application/vnd.openxmlformats-officedocument.spreadsheetml.revisionLog+xml"/>
  <Override PartName="/xl/revisions/revisionLog1101111.xml" ContentType="application/vnd.openxmlformats-officedocument.spreadsheetml.revisionLog+xml"/>
  <Override PartName="/xl/revisions/revisionLog115111.xml" ContentType="application/vnd.openxmlformats-officedocument.spreadsheetml.revisionLog+xml"/>
  <Override PartName="/xl/revisions/revisionLog11321.xml" ContentType="application/vnd.openxmlformats-officedocument.spreadsheetml.revisionLog+xml"/>
  <Override PartName="/xl/revisions/revisionLog1231.xml" ContentType="application/vnd.openxmlformats-officedocument.spreadsheetml.revisionLog+xml"/>
  <Override PartName="/xl/revisions/revisionLog18121.xml" ContentType="application/vnd.openxmlformats-officedocument.spreadsheetml.revisionLog+xml"/>
  <Override PartName="/xl/revisions/revisionLog125.xml" ContentType="application/vnd.openxmlformats-officedocument.spreadsheetml.revisionLog+xml"/>
  <Override PartName="/xl/revisions/revisionLog116111.xml" ContentType="application/vnd.openxmlformats-officedocument.spreadsheetml.revisionLog+xml"/>
  <Override PartName="/xl/revisions/revisionLog11811.xml" ContentType="application/vnd.openxmlformats-officedocument.spreadsheetml.revisionLog+xml"/>
  <Override PartName="/xl/revisions/revisionLog12311.xml" ContentType="application/vnd.openxmlformats-officedocument.spreadsheetml.revisionLog+xml"/>
  <Override PartName="/xl/revisions/revisionLog124.xml" ContentType="application/vnd.openxmlformats-officedocument.spreadsheetml.revisionLog+xml"/>
  <Override PartName="/xl/revisions/revisionLog126.xml" ContentType="application/vnd.openxmlformats-officedocument.spreadsheetml.revisionLog+xml"/>
  <Override PartName="/xl/revisions/revisionLog11521.xml" ContentType="application/vnd.openxmlformats-officedocument.spreadsheetml.revisionLog+xml"/>
  <Override PartName="/xl/revisions/revisionLog11331.xml" ContentType="application/vnd.openxmlformats-officedocument.spreadsheetml.revisionLog+xml"/>
  <Override PartName="/xl/revisions/revisionLog127.xml" ContentType="application/vnd.openxmlformats-officedocument.spreadsheetml.revisionLog+xml"/>
  <Override PartName="/xl/revisions/revisionLog2.xml" ContentType="application/vnd.openxmlformats-officedocument.spreadsheetml.revisionLog+xml"/>
  <Override PartName="/xl/revisions/revisionLog15211.xml" ContentType="application/vnd.openxmlformats-officedocument.spreadsheetml.revisionLog+xml"/>
  <Override PartName="/xl/revisions/revisionLog1271.xml" ContentType="application/vnd.openxmlformats-officedocument.spreadsheetml.revisionLog+xml"/>
  <Override PartName="/xl/revisions/revisionLog142.xml" ContentType="application/vnd.openxmlformats-officedocument.spreadsheetml.revisionLog+xml"/>
  <Override PartName="/xl/revisions/revisionLog128.xml" ContentType="application/vnd.openxmlformats-officedocument.spreadsheetml.revisionLog+xml"/>
  <Override PartName="/xl/revisions/revisionLog147.xml" ContentType="application/vnd.openxmlformats-officedocument.spreadsheetml.revisionLog+xml"/>
  <Override PartName="/xl/revisions/revisionLog1321.xml" ContentType="application/vnd.openxmlformats-officedocument.spreadsheetml.revisionLog+xml"/>
  <Override PartName="/xl/revisions/revisionLog123111.xml" ContentType="application/vnd.openxmlformats-officedocument.spreadsheetml.revisionLog+xml"/>
  <Override PartName="/xl/revisions/revisionLog1511.xml" ContentType="application/vnd.openxmlformats-officedocument.spreadsheetml.revisionLog+xml"/>
  <Override PartName="/xl/revisions/revisionLog1612.xml" ContentType="application/vnd.openxmlformats-officedocument.spreadsheetml.revisionLog+xml"/>
  <Override PartName="/xl/revisions/revisionLog1712.xml" ContentType="application/vnd.openxmlformats-officedocument.spreadsheetml.revisionLog+xml"/>
  <Override PartName="/xl/revisions/revisionLog191111.xml" ContentType="application/vnd.openxmlformats-officedocument.spreadsheetml.revisionLog+xml"/>
  <Override PartName="/xl/revisions/revisionLog12112.xml" ContentType="application/vnd.openxmlformats-officedocument.spreadsheetml.revisionLog+xml"/>
  <Override PartName="/xl/revisions/revisionLog1251.xml" ContentType="application/vnd.openxmlformats-officedocument.spreadsheetml.revisionLog+xml"/>
  <Override PartName="/xl/revisions/revisionLog155.xml" ContentType="application/vnd.openxmlformats-officedocument.spreadsheetml.revisionLog+xml"/>
  <Override PartName="/xl/revisions/revisionLog136.xml" ContentType="application/vnd.openxmlformats-officedocument.spreadsheetml.revisionLog+xml"/>
  <Override PartName="/xl/revisions/revisionLog150.xml" ContentType="application/vnd.openxmlformats-officedocument.spreadsheetml.revisionLog+xml"/>
  <Override PartName="/xl/revisions/revisionLog1151111.xml" ContentType="application/vnd.openxmlformats-officedocument.spreadsheetml.revisionLog+xml"/>
  <Override PartName="/xl/revisions/revisionLog120111.xml" ContentType="application/vnd.openxmlformats-officedocument.spreadsheetml.revisionLog+xml"/>
  <Override PartName="/xl/revisions/revisionLog156.xml" ContentType="application/vnd.openxmlformats-officedocument.spreadsheetml.revisionLog+xml"/>
  <Override PartName="/xl/revisions/revisionLog118111.xml" ContentType="application/vnd.openxmlformats-officedocument.spreadsheetml.revisionLog+xml"/>
  <Override PartName="/xl/revisions/revisionLog1241.xml" ContentType="application/vnd.openxmlformats-officedocument.spreadsheetml.revisionLog+xml"/>
  <Override PartName="/xl/revisions/revisionLog1261.xml" ContentType="application/vnd.openxmlformats-officedocument.spreadsheetml.revisionLog+xml"/>
  <Override PartName="/xl/revisions/revisionLog1153.xml" ContentType="application/vnd.openxmlformats-officedocument.spreadsheetml.revisionLog+xml"/>
  <Override PartName="/xl/revisions/revisionLog1281.xml" ContentType="application/vnd.openxmlformats-officedocument.spreadsheetml.revisionLog+xml"/>
  <Override PartName="/xl/revisions/revisionLog12511.xml" ContentType="application/vnd.openxmlformats-officedocument.spreadsheetml.revisionLog+xml"/>
  <Override PartName="/xl/revisions/revisionLog129.xml" ContentType="application/vnd.openxmlformats-officedocument.spreadsheetml.revisionLog+xml"/>
  <Override PartName="/xl/revisions/revisionLog157.xml" ContentType="application/vnd.openxmlformats-officedocument.spreadsheetml.revisionLog+xml"/>
  <Override PartName="/xl/revisions/revisionLog1501.xml" ContentType="application/vnd.openxmlformats-officedocument.spreadsheetml.revisionLog+xml"/>
  <Override PartName="/xl/revisions/revisionLog1410.xml" ContentType="application/vnd.openxmlformats-officedocument.spreadsheetml.revisionLog+xml"/>
  <Override PartName="/xl/revisions/revisionLog1551.xml" ContentType="application/vnd.openxmlformats-officedocument.spreadsheetml.revisionLog+xml"/>
  <Override PartName="/xl/revisions/revisionLog182.xml" ContentType="application/vnd.openxmlformats-officedocument.spreadsheetml.revisionLog+xml"/>
  <Override PartName="/xl/revisions/revisionLog181211.xml" ContentType="application/vnd.openxmlformats-officedocument.spreadsheetml.revisionLog+xml"/>
  <Override PartName="/xl/revisions/revisionLog1561.xml" ContentType="application/vnd.openxmlformats-officedocument.spreadsheetml.revisionLog+xml"/>
  <Override PartName="/xl/revisions/revisionLog12611.xml" ContentType="application/vnd.openxmlformats-officedocument.spreadsheetml.revisionLog+xml"/>
  <Override PartName="/xl/revisions/revisionLog1162.xml" ContentType="application/vnd.openxmlformats-officedocument.spreadsheetml.revisionLog+xml"/>
  <Override PartName="/xl/revisions/revisionLog12711.xml" ContentType="application/vnd.openxmlformats-officedocument.spreadsheetml.revisionLog+xml"/>
  <Override PartName="/xl/revisions/revisionLog1291.xml" ContentType="application/vnd.openxmlformats-officedocument.spreadsheetml.revisionLog+xml"/>
  <Override PartName="/xl/revisions/revisionLog127111.xml" ContentType="application/vnd.openxmlformats-officedocument.spreadsheetml.revisionLog+xml"/>
  <Override PartName="/xl/revisions/revisionLog12911.xml" ContentType="application/vnd.openxmlformats-officedocument.spreadsheetml.revisionLog+xml"/>
  <Override PartName="/xl/revisions/revisionLog171.xml" ContentType="application/vnd.openxmlformats-officedocument.spreadsheetml.revisionLog+xml"/>
  <Override PartName="/xl/revisions/revisionLog1412.xml" ContentType="application/vnd.openxmlformats-officedocument.spreadsheetml.revisionLog+xml"/>
  <Override PartName="/xl/revisions/revisionLog132.xml" ContentType="application/vnd.openxmlformats-officedocument.spreadsheetml.revisionLog+xml"/>
  <Override PartName="/xl/revisions/revisionLog11621.xml" ContentType="application/vnd.openxmlformats-officedocument.spreadsheetml.revisionLog+xml"/>
  <Override PartName="/xl/revisions/revisionLog1711.xml" ContentType="application/vnd.openxmlformats-officedocument.spreadsheetml.revisionLog+xml"/>
  <Override PartName="/xl/revisions/revisionLog1111.xml" ContentType="application/vnd.openxmlformats-officedocument.spreadsheetml.revisionLog+xml"/>
  <Override PartName="/xl/revisions/revisionLog113211.xml" ContentType="application/vnd.openxmlformats-officedocument.spreadsheetml.revisionLog+xml"/>
  <Override PartName="/xl/revisions/revisionLog1102.xml" ContentType="application/vnd.openxmlformats-officedocument.spreadsheetml.revisionLog+xml"/>
  <Override PartName="/xl/revisions/revisionLog11211.xml" ContentType="application/vnd.openxmlformats-officedocument.spreadsheetml.revisionLog+xml"/>
  <Override PartName="/xl/revisions/revisionLog113311.xml" ContentType="application/vnd.openxmlformats-officedocument.spreadsheetml.revisionLog+xml"/>
  <Override PartName="/xl/revisions/revisionLog115211.xml" ContentType="application/vnd.openxmlformats-officedocument.spreadsheetml.revisionLog+xml"/>
  <Override PartName="/xl/revisions/revisionLog129111.xml" ContentType="application/vnd.openxmlformats-officedocument.spreadsheetml.revisionLog+xml"/>
  <Override PartName="/xl/revisions/revisionLog1151.xml" ContentType="application/vnd.openxmlformats-officedocument.spreadsheetml.revisionLog+xml"/>
  <Override PartName="/xl/revisions/revisionLog1134.xml" ContentType="application/vnd.openxmlformats-officedocument.spreadsheetml.revisionLog+xml"/>
  <Override PartName="/xl/revisions/revisionLog130.xml" ContentType="application/vnd.openxmlformats-officedocument.spreadsheetml.revisionLog+xml"/>
  <Override PartName="/xl/revisions/revisionLog1.xml" ContentType="application/vnd.openxmlformats-officedocument.spreadsheetml.revisionLog+xml"/>
  <Override PartName="/xl/revisions/revisionLog1611.xml" ContentType="application/vnd.openxmlformats-officedocument.spreadsheetml.revisionLog+xml"/>
  <Override PartName="/xl/revisions/revisionLog11111.xml" ContentType="application/vnd.openxmlformats-officedocument.spreadsheetml.revisionLog+xml"/>
  <Override PartName="/xl/revisions/revisionLog1511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Srivastava Mayuri\Desktop\"/>
    </mc:Choice>
  </mc:AlternateContent>
  <bookViews>
    <workbookView xWindow="0" yWindow="0" windowWidth="20490" windowHeight="8445" firstSheet="2" activeTab="2"/>
  </bookViews>
  <sheets>
    <sheet name="Anand" sheetId="1" state="hidden" r:id="rId1"/>
    <sheet name="Gaurav" sheetId="3" r:id="rId2"/>
    <sheet name="Mohit" sheetId="5" r:id="rId3"/>
    <sheet name="Preeti" sheetId="4" r:id="rId4"/>
    <sheet name="Saanchi" sheetId="6" r:id="rId5"/>
    <sheet name="Saurabh Arora" sheetId="7" r:id="rId6"/>
    <sheet name="Sangeetha" sheetId="2" r:id="rId7"/>
    <sheet name="Gaurav Garg" sheetId="8" r:id="rId8"/>
    <sheet name="Data sheet" sheetId="9" r:id="rId9"/>
    <sheet name="Today's Deliveries" sheetId="10" r:id="rId10"/>
    <sheet name="Saurabh Yadav" sheetId="11" state="hidden" r:id="rId11"/>
    <sheet name="Workflow" sheetId="12" r:id="rId12"/>
    <sheet name="Top Project" sheetId="13" r:id="rId13"/>
    <sheet name="Sheet1" sheetId="14" state="hidden" r:id="rId14"/>
  </sheets>
  <externalReferences>
    <externalReference r:id="rId15"/>
  </externalReferences>
  <definedNames>
    <definedName name="_xlnm._FilterDatabase" localSheetId="8" hidden="1">'Data sheet'!$A$1:$F$85</definedName>
    <definedName name="_xlnm._FilterDatabase" localSheetId="2" hidden="1">Mohit!$A$1:$H$736</definedName>
    <definedName name="_xlnm._FilterDatabase" localSheetId="4" hidden="1">Saanchi!$A$1:$H$746</definedName>
    <definedName name="_xlnm._FilterDatabase" localSheetId="6" hidden="1">Sangeetha!$A$1:$H$604</definedName>
    <definedName name="_xlnm._FilterDatabase" localSheetId="9" hidden="1">'Today''s Deliveries'!$A$1:$E$242</definedName>
    <definedName name="Activity">'Data sheet'!$A$2:$A$9</definedName>
    <definedName name="AdhocRequest">'Data sheet'!$O$2:$O$85</definedName>
    <definedName name="Frequency">'Data sheet'!$C$2:$C$85</definedName>
    <definedName name="KT">'Data sheet'!$L$2:$L$85</definedName>
    <definedName name="Meeting">'Data sheet'!$M$2:$M$85</definedName>
    <definedName name="MISC">'Data sheet'!$P$2:$P$13</definedName>
    <definedName name="Project">'Data sheet'!$J$2:$J$85</definedName>
    <definedName name="ProjectName">'Data sheet'!$B$2:$B$85</definedName>
    <definedName name="ProjectPhase">'Data sheet'!$R$2:$R$12</definedName>
    <definedName name="ProjMeeting">'Data sheet'!$M$2:$M$84</definedName>
    <definedName name="Resources">'Data sheet'!$U$2:$U$10</definedName>
    <definedName name="Review">'Data sheet'!$K$2:$K$84</definedName>
    <definedName name="Status_Meeting">'Data sheet'!$N$2:$N$84</definedName>
    <definedName name="Z_0459E885_E56D_4233_A463_CDACB82F3A71_.wvu.FilterData" localSheetId="8" hidden="1">'Data sheet'!$A$1:$F$85</definedName>
    <definedName name="Z_0459E885_E56D_4233_A463_CDACB82F3A71_.wvu.FilterData" localSheetId="2" hidden="1">Mohit!$A$1:$H$736</definedName>
    <definedName name="Z_0459E885_E56D_4233_A463_CDACB82F3A71_.wvu.FilterData" localSheetId="4" hidden="1">Saanchi!$A$1:$H$746</definedName>
    <definedName name="Z_0459E885_E56D_4233_A463_CDACB82F3A71_.wvu.FilterData" localSheetId="6" hidden="1">Sangeetha!$A$1:$H$604</definedName>
    <definedName name="Z_0459E885_E56D_4233_A463_CDACB82F3A71_.wvu.FilterData" localSheetId="9" hidden="1">'Today''s Deliveries'!$A$1:$E$242</definedName>
    <definedName name="Z_0459E885_E56D_4233_A463_CDACB82F3A71_.wvu.Rows" localSheetId="7" hidden="1">'Gaurav Garg'!$2:$2</definedName>
    <definedName name="Z_0459E885_E56D_4233_A463_CDACB82F3A71_.wvu.Rows" localSheetId="4" hidden="1">Saanchi!$2:$2</definedName>
    <definedName name="Z_0459E885_E56D_4233_A463_CDACB82F3A71_.wvu.Rows" localSheetId="5" hidden="1">'Saurabh Arora'!$2:$2</definedName>
    <definedName name="Z_16E0B1E2_F74C_49AC_A978_92E098759EA5_.wvu.FilterData" localSheetId="6" hidden="1">Sangeetha!$A$1:$H$604</definedName>
    <definedName name="Z_174D80D9_6E86_42A6_829E_61208210E99D_.wvu.FilterData" localSheetId="6" hidden="1">Sangeetha!$A$1:$H$1</definedName>
    <definedName name="Z_2F21C253_EA36_4F96_8F47_5B669ABC1D20_.wvu.FilterData" localSheetId="6" hidden="1">Sangeetha!$A$1:$H$604</definedName>
    <definedName name="Z_39AFBFEA_9E3B_4D39_9A52_E97212B04C3B_.wvu.Cols" localSheetId="8" hidden="1">'Data sheet'!$D:$E</definedName>
    <definedName name="Z_39AFBFEA_9E3B_4D39_9A52_E97212B04C3B_.wvu.FilterData" localSheetId="4" hidden="1">Saanchi!$A$1:$H$746</definedName>
    <definedName name="Z_39AFBFEA_9E3B_4D39_9A52_E97212B04C3B_.wvu.FilterData" localSheetId="6" hidden="1">Sangeetha!$A$1:$H$604</definedName>
    <definedName name="Z_3EF143DC_EAD2_49F8_87B4_9BC1C389327A_.wvu.FilterData" localSheetId="2" hidden="1">Mohit!$A$1:$H$736</definedName>
    <definedName name="Z_4657911B_8DE8_4AC0_B955_29A958234D96_.wvu.FilterData" localSheetId="4" hidden="1">Saanchi!$A$1:$H$746</definedName>
    <definedName name="Z_4657911B_8DE8_4AC0_B955_29A958234D96_.wvu.FilterData" localSheetId="6" hidden="1">Sangeetha!$A$1:$H$604</definedName>
    <definedName name="Z_4657911B_8DE8_4AC0_B955_29A958234D96_.wvu.FilterData" localSheetId="9" hidden="1">'Today''s Deliveries'!$A$1:$G$242</definedName>
    <definedName name="Z_4ED518A4_7421_4E1B_85C7_222B233DEC4D_.wvu.FilterData" localSheetId="4" hidden="1">Saanchi!$A$1:$H$746</definedName>
    <definedName name="Z_4ED518A4_7421_4E1B_85C7_222B233DEC4D_.wvu.FilterData" localSheetId="6" hidden="1">Sangeetha!$A$1:$H$1</definedName>
    <definedName name="Z_4ED518A4_7421_4E1B_85C7_222B233DEC4D_.wvu.FilterData" localSheetId="9" hidden="1">'Today''s Deliveries'!$A$1:$G$242</definedName>
    <definedName name="Z_5E4851DA_2CDD_4E0B_A9F2_CF05D4206F60_.wvu.Cols" localSheetId="8" hidden="1">'Data sheet'!$D:$E</definedName>
    <definedName name="Z_5E4851DA_2CDD_4E0B_A9F2_CF05D4206F60_.wvu.FilterData" localSheetId="6" hidden="1">Sangeetha!$A$1:$H$604</definedName>
    <definedName name="Z_64E4D9E9_D931_4D39_BB6A_317C1A9555F4_.wvu.FilterData" localSheetId="6" hidden="1">Sangeetha!$A$1:$H$604</definedName>
    <definedName name="Z_657EEACB_D600_4EA5_9542_9C23BEF72C1E_.wvu.FilterData" localSheetId="9" hidden="1">'Today''s Deliveries'!$A$1:$G$242</definedName>
    <definedName name="Z_66DCCBD4_5998_4B99_8D3D_E67E65EB14B4_.wvu.FilterData" localSheetId="8" hidden="1">'Data sheet'!$A$1:$F$81</definedName>
    <definedName name="Z_66DCCBD4_5998_4B99_8D3D_E67E65EB14B4_.wvu.FilterData" localSheetId="6" hidden="1">Sangeetha!$A$1:$H$604</definedName>
    <definedName name="Z_6807A61D_FE35_4D6E_93F3_21FD785FCADA_.wvu.FilterData" localSheetId="8" hidden="1">'Data sheet'!$A$1:$F$80</definedName>
    <definedName name="Z_6807A61D_FE35_4D6E_93F3_21FD785FCADA_.wvu.FilterData" localSheetId="6" hidden="1">Sangeetha!$A$1:$H$604</definedName>
    <definedName name="Z_71974405_1B87_4AAF_AE40_4A8428B64246_.wvu.FilterData" localSheetId="6" hidden="1">Sangeetha!$A$1:$H$1</definedName>
    <definedName name="Z_71974405_1B87_4AAF_AE40_4A8428B64246_.wvu.FilterData" localSheetId="9" hidden="1">'Today''s Deliveries'!$A$1:$G$242</definedName>
    <definedName name="Z_8DBF0FD6_E321_4CF5_8ABC_095D20C47070_.wvu.FilterData" localSheetId="6" hidden="1">Sangeetha!$A$1:$H$604</definedName>
    <definedName name="Z_959C0149_8CD6_4805_9920_AF758F012629_.wvu.FilterData" localSheetId="6" hidden="1">Sangeetha!$A$1:$H$604</definedName>
    <definedName name="Z_95C94D89_7C11_4CEE_9E62_15B91C680CE6_.wvu.FilterData" localSheetId="9" hidden="1">'Today''s Deliveries'!$A$1:$G$242</definedName>
    <definedName name="Z_AF89E5B5_2065_40EF_894A_2410D412BE92_.wvu.FilterData" localSheetId="6" hidden="1">Sangeetha!$A$1:$H$604</definedName>
    <definedName name="Z_B21C944A_B9E6_45AB_81BF_EF3462735D13_.wvu.FilterData" localSheetId="4" hidden="1">Saanchi!$A$1:$H$746</definedName>
    <definedName name="Z_B7B359DE_58D6_4C60_A9E7_D5D24C5895E8_.wvu.FilterData" localSheetId="4" hidden="1">Saanchi!$A$1:$H$30</definedName>
    <definedName name="Z_B96DA8AF_5DDD_4DB7_87B5_918A8C508320_.wvu.FilterData" localSheetId="6" hidden="1">Sangeetha!$A$1:$H$604</definedName>
    <definedName name="Z_B96DA8AF_5DDD_4DB7_87B5_918A8C508320_.wvu.FilterData" localSheetId="9" hidden="1">'Today''s Deliveries'!$A$1:$G$242</definedName>
    <definedName name="Z_C379096A_82A8_40F9_A08F_4E5BFAB8ADB6_.wvu.FilterData" localSheetId="6" hidden="1">Sangeetha!$A$1:$H$604</definedName>
    <definedName name="Z_CAAB4857_130C_45CF_BDB7_F4543166DC3F_.wvu.FilterData" localSheetId="4" hidden="1">Saanchi!$A$1:$H$30</definedName>
    <definedName name="Z_CAAB4857_130C_45CF_BDB7_F4543166DC3F_.wvu.FilterData" localSheetId="6" hidden="1">Sangeetha!$A$1:$H$604</definedName>
    <definedName name="Z_D31A0C38_2BF3_428E_8B63_7EF803410846_.wvu.Cols" localSheetId="8" hidden="1">'Data sheet'!$D:$E</definedName>
    <definedName name="Z_D31A0C38_2BF3_428E_8B63_7EF803410846_.wvu.FilterData" localSheetId="8" hidden="1">'Data sheet'!$A$1:$F$85</definedName>
    <definedName name="Z_D31A0C38_2BF3_428E_8B63_7EF803410846_.wvu.FilterData" localSheetId="2" hidden="1">Mohit!$A$1:$H$736</definedName>
    <definedName name="Z_D31A0C38_2BF3_428E_8B63_7EF803410846_.wvu.FilterData" localSheetId="4" hidden="1">Saanchi!$A$1:$H$746</definedName>
    <definedName name="Z_D31A0C38_2BF3_428E_8B63_7EF803410846_.wvu.FilterData" localSheetId="6" hidden="1">Sangeetha!$A$1:$H$604</definedName>
    <definedName name="Z_D31A0C38_2BF3_428E_8B63_7EF803410846_.wvu.FilterData" localSheetId="9" hidden="1">'Today''s Deliveries'!$A$1:$E$242</definedName>
    <definedName name="Z_D31A0C38_2BF3_428E_8B63_7EF803410846_.wvu.Rows" localSheetId="0" hidden="1">Anand!$2:$2</definedName>
    <definedName name="Z_D31A0C38_2BF3_428E_8B63_7EF803410846_.wvu.Rows" localSheetId="1" hidden="1">Gaurav!$2:$3</definedName>
    <definedName name="Z_D31A0C38_2BF3_428E_8B63_7EF803410846_.wvu.Rows" localSheetId="7" hidden="1">'Gaurav Garg'!$2:$2</definedName>
    <definedName name="Z_D31A0C38_2BF3_428E_8B63_7EF803410846_.wvu.Rows" localSheetId="2" hidden="1">Mohit!$3:$3</definedName>
    <definedName name="Z_D31A0C38_2BF3_428E_8B63_7EF803410846_.wvu.Rows" localSheetId="4" hidden="1">Saanchi!$2:$2</definedName>
    <definedName name="Z_D31A0C38_2BF3_428E_8B63_7EF803410846_.wvu.Rows" localSheetId="5" hidden="1">'Saurabh Arora'!$2:$2</definedName>
    <definedName name="Z_D8CC52E1_F7A0_40C3_A183_0E85BF673A2F_.wvu.FilterData" localSheetId="6" hidden="1">Sangeetha!$A$1:$H$604</definedName>
    <definedName name="Z_E72D1D85_DDEA_47FF_9C0A_B8A16DD802DE_.wvu.FilterData" localSheetId="8" hidden="1">'Data sheet'!$A$1:$F$85</definedName>
    <definedName name="Z_E72D1D85_DDEA_47FF_9C0A_B8A16DD802DE_.wvu.FilterData" localSheetId="2" hidden="1">Mohit!$A$1:$H$736</definedName>
    <definedName name="Z_E72D1D85_DDEA_47FF_9C0A_B8A16DD802DE_.wvu.FilterData" localSheetId="4" hidden="1">Saanchi!$A$1:$H$746</definedName>
    <definedName name="Z_E72D1D85_DDEA_47FF_9C0A_B8A16DD802DE_.wvu.FilterData" localSheetId="6" hidden="1">Sangeetha!$A$1:$H$604</definedName>
    <definedName name="Z_E72D1D85_DDEA_47FF_9C0A_B8A16DD802DE_.wvu.FilterData" localSheetId="9" hidden="1">'Today''s Deliveries'!$A$1:$E$242</definedName>
    <definedName name="Z_E72D1D85_DDEA_47FF_9C0A_B8A16DD802DE_.wvu.Rows" localSheetId="7" hidden="1">'Gaurav Garg'!$2:$2</definedName>
    <definedName name="Z_E72D1D85_DDEA_47FF_9C0A_B8A16DD802DE_.wvu.Rows" localSheetId="4" hidden="1">Saanchi!$2:$2</definedName>
    <definedName name="Z_E72D1D85_DDEA_47FF_9C0A_B8A16DD802DE_.wvu.Rows" localSheetId="5" hidden="1">'Saurabh Arora'!$2:$2</definedName>
    <definedName name="Z_EF581020_195E_44B8_A6FB_6967423F9223_.wvu.FilterData" localSheetId="6" hidden="1">Sangeetha!$A$1:$H$1</definedName>
    <definedName name="Z_EF967A11_4CC1_4C3F_82E5_3A05092D001E_.wvu.FilterData" localSheetId="6" hidden="1">Sangeetha!$A$1:$H$1</definedName>
    <definedName name="Z_EF967A11_4CC1_4C3F_82E5_3A05092D001E_.wvu.FilterData" localSheetId="9" hidden="1">'Today''s Deliveries'!$A$1:$G$242</definedName>
    <definedName name="Z_F46967F8_86B3_42C0_B33E_1F632731C43B_.wvu.FilterData" localSheetId="4" hidden="1">Saanchi!$A$1:$H$746</definedName>
    <definedName name="Z_FF8F5829_F141_420F_BF08_8B6361F0B54C_.wvu.FilterData" localSheetId="6" hidden="1">Sangeetha!$A$1:$H$604</definedName>
  </definedNames>
  <calcPr calcId="152511"/>
  <customWorkbookViews>
    <customWorkbookView name="Srivastava Mayuri - Personal View" guid="{0459E885-E56D-4233-A463-CDACB82F3A71}" mergeInterval="0" personalView="1" maximized="1" xWindow="-8" yWindow="-8" windowWidth="1382" windowHeight="744" activeSheetId="5"/>
    <customWorkbookView name="Preeti Choudhary - Personal View" guid="{D31A0C38-2BF3-428E-8B63-7EF803410846}" mergeInterval="0" personalView="1" maximized="1" xWindow="1" yWindow="1" windowWidth="1276" windowHeight="752" activeSheetId="4"/>
    <customWorkbookView name="saurabh arora - Personal View" guid="{39AFBFEA-9E3B-4D39-9A52-E97212B04C3B}" mergeInterval="0" personalView="1" maximized="1" xWindow="1" yWindow="1" windowWidth="1276" windowHeight="771" activeSheetId="4"/>
    <customWorkbookView name="Anupam Khanna - Personal View" guid="{5E4851DA-2CDD-4E0B-A9F2-CF05D4206F60}" mergeInterval="0" personalView="1" maximized="1" xWindow="1" yWindow="1" windowWidth="1264" windowHeight="730" activeSheetId="2"/>
    <customWorkbookView name="Priyamvada Joshi - Personal View" guid="{CAAB4857-130C-45CF-BDB7-F4543166DC3F}" mergeInterval="0" personalView="1" maximized="1" xWindow="1" yWindow="1" windowWidth="1276" windowHeight="790" activeSheetId="5"/>
    <customWorkbookView name="CenturyLink Employee - Personal View" guid="{E72D1D85-DDEA-47FF-9C0A-B8A16DD802DE}" mergeInterval="0" personalView="1" maximized="1" xWindow="1" yWindow="1" windowWidth="1276" windowHeight="794" activeSheetId="5"/>
  </customWorkbookViews>
</workbook>
</file>

<file path=xl/calcChain.xml><?xml version="1.0" encoding="utf-8"?>
<calcChain xmlns="http://schemas.openxmlformats.org/spreadsheetml/2006/main">
  <c r="E211" i="10" l="1"/>
  <c r="D211" i="10"/>
  <c r="E210" i="10"/>
  <c r="D210" i="10"/>
  <c r="J85" i="9" l="1"/>
  <c r="K85" i="9"/>
  <c r="L85" i="9"/>
  <c r="M85" i="9"/>
  <c r="O85" i="9"/>
  <c r="J84" i="9"/>
  <c r="K84" i="9"/>
  <c r="L84" i="9"/>
  <c r="M84" i="9"/>
  <c r="O84" i="9"/>
  <c r="L82" i="9" l="1"/>
  <c r="L83" i="9"/>
  <c r="O82" i="9"/>
  <c r="O83" i="9"/>
  <c r="M83" i="9"/>
  <c r="M82" i="9"/>
  <c r="J83" i="9"/>
  <c r="K83" i="9"/>
  <c r="K82" i="9"/>
  <c r="J82" i="9"/>
  <c r="E208" i="10"/>
  <c r="D208" i="10"/>
  <c r="O81" i="9" l="1"/>
  <c r="M81" i="9"/>
  <c r="L81" i="9"/>
  <c r="K81" i="9"/>
  <c r="J81" i="9"/>
  <c r="J80" i="9" l="1"/>
  <c r="K80" i="9"/>
  <c r="L80" i="9"/>
  <c r="M80" i="9"/>
  <c r="O80" i="9"/>
  <c r="E8" i="13"/>
  <c r="E173" i="10"/>
  <c r="D173" i="10"/>
  <c r="E198" i="10"/>
  <c r="D198" i="10"/>
  <c r="E196" i="10"/>
  <c r="D196" i="10"/>
  <c r="E192" i="10"/>
  <c r="D192" i="10"/>
  <c r="E187" i="10"/>
  <c r="D187" i="10"/>
  <c r="J79" i="9"/>
  <c r="K79" i="9"/>
  <c r="L79" i="9"/>
  <c r="M79" i="9"/>
  <c r="O79" i="9"/>
  <c r="E182" i="10" l="1"/>
  <c r="D182" i="10"/>
  <c r="E178" i="10"/>
  <c r="D178" i="10"/>
  <c r="J78" i="9" l="1"/>
  <c r="K78" i="9"/>
  <c r="L78" i="9"/>
  <c r="M78" i="9"/>
  <c r="O78" i="9"/>
  <c r="E176" i="10"/>
  <c r="E170" i="10" l="1"/>
  <c r="D170" i="10"/>
  <c r="E174" i="10" l="1"/>
  <c r="D174" i="10"/>
  <c r="E168" i="10"/>
  <c r="D168" i="10"/>
  <c r="O77" i="9"/>
  <c r="M77" i="9"/>
  <c r="L77" i="9"/>
  <c r="K77" i="9"/>
  <c r="J77" i="9"/>
  <c r="E169" i="10" l="1"/>
  <c r="E167" i="10" l="1"/>
  <c r="D167" i="10"/>
  <c r="E166" i="10"/>
  <c r="E165" i="10"/>
  <c r="D165" i="10"/>
  <c r="E163" i="10"/>
  <c r="D163" i="10"/>
  <c r="E162" i="10" l="1"/>
  <c r="E150" i="10"/>
  <c r="L76" i="9"/>
  <c r="M76" i="9"/>
  <c r="O76" i="9"/>
  <c r="K76" i="9"/>
  <c r="J76" i="9"/>
  <c r="J75" i="9"/>
  <c r="K75" i="9"/>
  <c r="L75" i="9"/>
  <c r="M75" i="9"/>
  <c r="O75" i="9"/>
  <c r="K72" i="9"/>
  <c r="L72" i="9"/>
  <c r="M72" i="9"/>
  <c r="O72" i="9"/>
  <c r="K73" i="9"/>
  <c r="L73" i="9"/>
  <c r="M73" i="9"/>
  <c r="O73" i="9"/>
  <c r="K74" i="9"/>
  <c r="L74" i="9"/>
  <c r="M74" i="9"/>
  <c r="O74" i="9"/>
  <c r="J72" i="9"/>
  <c r="J73" i="9"/>
  <c r="J74" i="9"/>
  <c r="E156" i="10"/>
  <c r="D143" i="10"/>
  <c r="E140" i="10"/>
  <c r="D140" i="10"/>
  <c r="E139" i="10"/>
  <c r="D139" i="10"/>
  <c r="J71" i="9"/>
  <c r="K71" i="9"/>
  <c r="L71" i="9"/>
  <c r="M71" i="9"/>
  <c r="O71" i="9"/>
  <c r="J70" i="9"/>
  <c r="K70" i="9"/>
  <c r="L70" i="9"/>
  <c r="M70" i="9"/>
  <c r="O70" i="9"/>
  <c r="J69" i="9" l="1"/>
  <c r="K69" i="9"/>
  <c r="L69" i="9"/>
  <c r="M69" i="9"/>
  <c r="O69" i="9"/>
  <c r="J68" i="9"/>
  <c r="K68" i="9"/>
  <c r="L68" i="9"/>
  <c r="M68" i="9"/>
  <c r="O68" i="9"/>
  <c r="F84" i="5" l="1"/>
  <c r="F83" i="5"/>
  <c r="F82" i="5"/>
  <c r="F81" i="5"/>
  <c r="F80" i="5"/>
  <c r="F79" i="5"/>
  <c r="F78" i="5"/>
  <c r="F77" i="5"/>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72" i="2"/>
  <c r="F71" i="2"/>
  <c r="F70" i="2"/>
  <c r="F69" i="2"/>
  <c r="F68" i="2"/>
  <c r="F67" i="2"/>
  <c r="F66" i="2"/>
  <c r="F65" i="2"/>
  <c r="F64" i="2"/>
  <c r="F63" i="2"/>
  <c r="F62" i="2"/>
  <c r="F61" i="2"/>
  <c r="F60" i="2"/>
  <c r="F59" i="2"/>
  <c r="F58" i="2"/>
  <c r="F57" i="2"/>
  <c r="F56" i="2"/>
  <c r="F55" i="2"/>
  <c r="F54" i="2"/>
  <c r="F53" i="2"/>
  <c r="F52" i="2"/>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E111" i="10"/>
  <c r="D111" i="10"/>
  <c r="E110" i="10"/>
  <c r="D110" i="10"/>
  <c r="J67" i="9"/>
  <c r="K67" i="9"/>
  <c r="L67" i="9"/>
  <c r="M67" i="9"/>
  <c r="O67" i="9"/>
  <c r="J66" i="9"/>
  <c r="K66" i="9"/>
  <c r="L66" i="9"/>
  <c r="M66" i="9"/>
  <c r="O66" i="9"/>
  <c r="D232" i="10"/>
  <c r="D231" i="10"/>
  <c r="D230" i="10"/>
  <c r="D229" i="10"/>
  <c r="D228" i="10"/>
  <c r="D227" i="10"/>
  <c r="D226" i="10"/>
  <c r="D225" i="10"/>
  <c r="D224" i="10"/>
  <c r="D223" i="10"/>
  <c r="D222" i="10"/>
  <c r="D221" i="10"/>
  <c r="D220" i="10"/>
  <c r="D219" i="10"/>
  <c r="D218" i="10"/>
  <c r="D217" i="10"/>
  <c r="D216" i="10"/>
  <c r="D215" i="10"/>
  <c r="D214" i="10"/>
  <c r="D213" i="10"/>
  <c r="D212" i="10"/>
  <c r="D209" i="10"/>
  <c r="D207" i="10"/>
  <c r="D206" i="10"/>
  <c r="D204" i="10"/>
  <c r="D201" i="10"/>
  <c r="D199" i="10"/>
  <c r="D197" i="10"/>
  <c r="D195" i="10"/>
  <c r="D189" i="10"/>
  <c r="D188" i="10"/>
  <c r="D164" i="10"/>
  <c r="D186" i="10"/>
  <c r="D184" i="10"/>
  <c r="D181" i="10"/>
  <c r="D179" i="10"/>
  <c r="D177" i="10"/>
  <c r="D175" i="10"/>
  <c r="D172" i="10"/>
  <c r="D166" i="10"/>
  <c r="D158" i="10"/>
  <c r="D157" i="10"/>
  <c r="D156" i="10"/>
  <c r="D155" i="10"/>
  <c r="D154" i="10"/>
  <c r="D98" i="10"/>
  <c r="D97" i="10"/>
  <c r="D91" i="10"/>
  <c r="D90" i="10"/>
  <c r="D153" i="10"/>
  <c r="D152" i="10"/>
  <c r="D151" i="10"/>
  <c r="D150" i="10"/>
  <c r="D147" i="10"/>
  <c r="D146" i="10"/>
  <c r="D145" i="10"/>
  <c r="D144" i="10"/>
  <c r="D142"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09" i="10"/>
  <c r="D108"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09" i="10"/>
  <c r="E207" i="10"/>
  <c r="E206" i="10"/>
  <c r="E205" i="10"/>
  <c r="E204" i="10"/>
  <c r="E203" i="10"/>
  <c r="E202" i="10"/>
  <c r="E201" i="10"/>
  <c r="E200" i="10"/>
  <c r="E199" i="10"/>
  <c r="E197" i="10"/>
  <c r="E195" i="10"/>
  <c r="E194" i="10"/>
  <c r="E193" i="10"/>
  <c r="E191" i="10"/>
  <c r="E190" i="10"/>
  <c r="E189" i="10"/>
  <c r="E188" i="10"/>
  <c r="E164" i="10"/>
  <c r="E186" i="10"/>
  <c r="E185" i="10"/>
  <c r="E184" i="10"/>
  <c r="E181" i="10"/>
  <c r="E180" i="10"/>
  <c r="E179" i="10"/>
  <c r="E177" i="10"/>
  <c r="E175" i="10"/>
  <c r="E172" i="10"/>
  <c r="E158" i="10"/>
  <c r="E157" i="10"/>
  <c r="E155" i="10"/>
  <c r="E154" i="10"/>
  <c r="E98" i="10"/>
  <c r="E97" i="10"/>
  <c r="E91" i="10"/>
  <c r="E90" i="10"/>
  <c r="E153" i="10"/>
  <c r="E152" i="10"/>
  <c r="E151" i="10"/>
  <c r="E147" i="10"/>
  <c r="E146" i="10"/>
  <c r="E145" i="10"/>
  <c r="E144"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09" i="10"/>
  <c r="E108" i="10"/>
  <c r="O65" i="9"/>
  <c r="M65" i="9"/>
  <c r="L65" i="9"/>
  <c r="K65" i="9"/>
  <c r="J65" i="9"/>
  <c r="J64" i="9"/>
  <c r="K64" i="9"/>
  <c r="L64" i="9"/>
  <c r="M64" i="9"/>
  <c r="O64" i="9"/>
  <c r="J63" i="9"/>
  <c r="K63" i="9"/>
  <c r="L63" i="9"/>
  <c r="M63" i="9"/>
  <c r="O63" i="9"/>
  <c r="J62" i="9"/>
  <c r="K62" i="9"/>
  <c r="L62" i="9"/>
  <c r="M62" i="9"/>
  <c r="O62" i="9"/>
  <c r="J61" i="9"/>
  <c r="K61" i="9"/>
  <c r="L61" i="9"/>
  <c r="M61" i="9"/>
  <c r="O61" i="9"/>
  <c r="E106" i="10"/>
  <c r="D106" i="10"/>
  <c r="E105" i="10"/>
  <c r="D105" i="10"/>
  <c r="J60" i="9"/>
  <c r="K60" i="9"/>
  <c r="L60" i="9"/>
  <c r="M60" i="9"/>
  <c r="O60" i="9"/>
  <c r="E104" i="10"/>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E94" i="10" l="1"/>
  <c r="E103" i="10"/>
  <c r="E102" i="10"/>
  <c r="E101" i="10"/>
  <c r="E100" i="10"/>
  <c r="E99" i="10"/>
  <c r="E96" i="10"/>
  <c r="E95" i="10"/>
  <c r="E93" i="10"/>
  <c r="E92" i="10"/>
  <c r="J59" i="9"/>
  <c r="K59" i="9"/>
  <c r="L59" i="9"/>
  <c r="M59" i="9"/>
  <c r="O59" i="9"/>
  <c r="J58" i="9"/>
  <c r="K58" i="9"/>
  <c r="L58" i="9"/>
  <c r="M58" i="9"/>
  <c r="O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O57" i="9"/>
  <c r="O56" i="9"/>
  <c r="O55" i="9"/>
  <c r="O54" i="9"/>
  <c r="O53" i="9"/>
  <c r="O52" i="9"/>
  <c r="O51" i="9"/>
  <c r="O50" i="9"/>
  <c r="O49" i="9"/>
  <c r="O48" i="9"/>
  <c r="O47" i="9"/>
  <c r="O46" i="9"/>
  <c r="O45" i="9"/>
  <c r="O44" i="9"/>
  <c r="O43" i="9"/>
  <c r="O42" i="9"/>
  <c r="O41" i="9"/>
  <c r="O39" i="9"/>
  <c r="O38" i="9"/>
  <c r="O37" i="9"/>
  <c r="O36" i="9"/>
  <c r="O35" i="9"/>
  <c r="O34" i="9"/>
  <c r="O33" i="9"/>
  <c r="O32" i="9"/>
  <c r="O31" i="9"/>
  <c r="O30" i="9"/>
  <c r="O29" i="9"/>
  <c r="O28" i="9"/>
  <c r="O27" i="9"/>
  <c r="O26" i="9"/>
  <c r="O25" i="9"/>
  <c r="O24" i="9"/>
  <c r="O23" i="9"/>
  <c r="O22" i="9"/>
  <c r="O21" i="9"/>
  <c r="O20" i="9"/>
  <c r="O19" i="9"/>
  <c r="O18" i="9"/>
  <c r="O17" i="9"/>
  <c r="O16" i="9"/>
  <c r="O15" i="9"/>
  <c r="O14" i="9"/>
  <c r="O13" i="9"/>
  <c r="O12" i="9"/>
  <c r="O11" i="9"/>
  <c r="O10" i="9"/>
  <c r="O9" i="9"/>
  <c r="O8" i="9"/>
  <c r="O7" i="9"/>
  <c r="O6" i="9"/>
  <c r="O5" i="9"/>
  <c r="O4" i="9"/>
  <c r="O3" i="9"/>
  <c r="O2" i="9"/>
  <c r="J57" i="9" l="1"/>
  <c r="K57" i="9"/>
  <c r="L57" i="9"/>
  <c r="J56" i="9"/>
  <c r="K56" i="9"/>
  <c r="L56" i="9"/>
  <c r="J55" i="9" l="1"/>
  <c r="K55" i="9" l="1"/>
  <c r="L55" i="9"/>
  <c r="E53" i="10"/>
  <c r="F79" i="8"/>
  <c r="F84"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746" i="6"/>
  <c r="F745" i="6"/>
  <c r="F744" i="6"/>
  <c r="F743" i="6"/>
  <c r="F742" i="6"/>
  <c r="F741" i="6"/>
  <c r="F740" i="6"/>
  <c r="F739" i="6"/>
  <c r="F738" i="6"/>
  <c r="F737" i="6"/>
  <c r="F736" i="6"/>
  <c r="F735" i="6"/>
  <c r="F734" i="6"/>
  <c r="F733" i="6"/>
  <c r="F732" i="6"/>
  <c r="F731" i="6"/>
  <c r="F730" i="6"/>
  <c r="F729" i="6"/>
  <c r="K54" i="9"/>
  <c r="L54" i="9"/>
  <c r="J54" i="9"/>
  <c r="J53" i="9"/>
  <c r="K53" i="9"/>
  <c r="L53" i="9"/>
  <c r="J52" i="9"/>
  <c r="K52" i="9"/>
  <c r="L52" i="9"/>
  <c r="D37" i="10" l="1"/>
  <c r="J51" i="9"/>
  <c r="K51" i="9"/>
  <c r="L51" i="9"/>
  <c r="D36" i="10"/>
  <c r="D35" i="10"/>
  <c r="F744" i="7" l="1"/>
  <c r="F743" i="7"/>
  <c r="F742" i="7"/>
  <c r="F741" i="7"/>
  <c r="F740" i="7"/>
  <c r="F739" i="7"/>
  <c r="F738" i="7"/>
  <c r="F737" i="7"/>
  <c r="F736" i="7"/>
  <c r="F735" i="7"/>
  <c r="F734" i="7"/>
  <c r="F733" i="7"/>
  <c r="F732" i="7"/>
  <c r="F731" i="7"/>
  <c r="F730" i="7"/>
  <c r="F729" i="7"/>
  <c r="F728" i="7"/>
  <c r="F727" i="7"/>
  <c r="F726" i="7"/>
  <c r="F725" i="7"/>
  <c r="F724" i="7"/>
  <c r="F723" i="7"/>
  <c r="F722" i="7"/>
  <c r="F721" i="7"/>
  <c r="F720" i="7"/>
  <c r="F719" i="7"/>
  <c r="F718" i="7"/>
  <c r="F717" i="7"/>
  <c r="F716" i="7"/>
  <c r="F715" i="7"/>
  <c r="F714" i="7"/>
  <c r="F713" i="7"/>
  <c r="F712" i="7"/>
  <c r="F711" i="7"/>
  <c r="F710" i="7"/>
  <c r="F709" i="7"/>
  <c r="F708" i="7"/>
  <c r="F707" i="7"/>
  <c r="F706" i="7"/>
  <c r="F705" i="7"/>
  <c r="F704" i="7"/>
  <c r="F703" i="7"/>
  <c r="F702" i="7"/>
  <c r="F701" i="7"/>
  <c r="F700" i="7"/>
  <c r="F699" i="7"/>
  <c r="F698" i="7"/>
  <c r="F697" i="7"/>
  <c r="F696" i="7"/>
  <c r="F695" i="7"/>
  <c r="F694" i="7"/>
  <c r="F693" i="7"/>
  <c r="F692" i="7"/>
  <c r="F691" i="7"/>
  <c r="F690" i="7"/>
  <c r="F689" i="7"/>
  <c r="F688" i="7"/>
  <c r="F687" i="7"/>
  <c r="F686" i="7"/>
  <c r="F685" i="7"/>
  <c r="F684" i="7"/>
  <c r="F683" i="7"/>
  <c r="F679" i="7"/>
  <c r="F678" i="7"/>
  <c r="F677" i="7"/>
  <c r="F676" i="7"/>
  <c r="F675" i="7"/>
  <c r="F674" i="7"/>
  <c r="F673" i="7"/>
  <c r="F672" i="7"/>
  <c r="F671" i="7"/>
  <c r="F670" i="7"/>
  <c r="F669" i="7"/>
  <c r="F668" i="7"/>
  <c r="F667" i="7"/>
  <c r="F666" i="7"/>
  <c r="F665" i="7"/>
  <c r="F664" i="7"/>
  <c r="F663" i="7"/>
  <c r="F661" i="7"/>
  <c r="F660" i="7"/>
  <c r="F659" i="7"/>
  <c r="F658" i="7"/>
  <c r="F657" i="7"/>
  <c r="F656" i="7"/>
  <c r="F655" i="7"/>
  <c r="F654" i="7"/>
  <c r="F653" i="7"/>
  <c r="F652" i="7"/>
  <c r="F651" i="7"/>
  <c r="F650" i="7"/>
  <c r="F649" i="7"/>
  <c r="F648" i="7"/>
  <c r="F647" i="7"/>
  <c r="F646" i="7"/>
  <c r="F645" i="7"/>
  <c r="F644" i="7"/>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50" i="8"/>
  <c r="F651" i="8"/>
  <c r="F652" i="8"/>
  <c r="F653" i="8"/>
  <c r="F654" i="8"/>
  <c r="F655" i="8"/>
  <c r="F656" i="8"/>
  <c r="F657" i="8"/>
  <c r="F658" i="8"/>
  <c r="F659" i="8"/>
  <c r="F660" i="8"/>
  <c r="F661" i="8"/>
  <c r="F662" i="8"/>
  <c r="F663" i="8"/>
  <c r="F664" i="8"/>
  <c r="F665" i="8"/>
  <c r="F666"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J50" i="9"/>
  <c r="K50" i="9"/>
  <c r="L50" i="9"/>
  <c r="E26" i="10"/>
  <c r="D26" i="10"/>
  <c r="J49" i="9"/>
  <c r="K49" i="9"/>
  <c r="L49" i="9"/>
  <c r="F316" i="11" l="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L47" i="9" l="1"/>
  <c r="L48" i="9"/>
  <c r="K47" i="9"/>
  <c r="K48" i="9"/>
  <c r="L46" i="9"/>
  <c r="K46" i="9"/>
  <c r="J47" i="9"/>
  <c r="J48" i="9"/>
  <c r="D3" i="10"/>
  <c r="D4" i="10"/>
  <c r="D5" i="10"/>
  <c r="D6" i="10"/>
  <c r="D7" i="10"/>
  <c r="D8" i="10"/>
  <c r="D9" i="10"/>
  <c r="D10" i="10"/>
  <c r="D11" i="10"/>
  <c r="D12" i="10"/>
  <c r="D13" i="10"/>
  <c r="D14" i="10"/>
  <c r="D15" i="10"/>
  <c r="D16" i="10"/>
  <c r="D17" i="10"/>
  <c r="D18" i="10"/>
  <c r="D19" i="10"/>
  <c r="D20" i="10"/>
  <c r="D21" i="10"/>
  <c r="D22" i="10"/>
  <c r="D23" i="10"/>
  <c r="D24" i="10"/>
  <c r="D25" i="10"/>
  <c r="D27" i="10"/>
  <c r="D28" i="10"/>
  <c r="D29" i="10"/>
  <c r="D30" i="10"/>
  <c r="D31" i="10"/>
  <c r="D32" i="10"/>
  <c r="D34"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2" i="10"/>
  <c r="D93" i="10"/>
  <c r="D94" i="10"/>
  <c r="D95" i="10"/>
  <c r="D96" i="10"/>
  <c r="D99" i="10"/>
  <c r="D100" i="10"/>
  <c r="D101" i="10"/>
  <c r="D102" i="10"/>
  <c r="D103" i="10"/>
  <c r="D2" i="10"/>
  <c r="J46" i="9"/>
  <c r="L45" i="9"/>
  <c r="K45" i="9"/>
  <c r="J45" i="9"/>
  <c r="E3" i="10" l="1"/>
  <c r="E4" i="10"/>
  <c r="E5" i="10"/>
  <c r="E6" i="10"/>
  <c r="E7" i="10"/>
  <c r="E8" i="10"/>
  <c r="E9" i="10"/>
  <c r="E10" i="10"/>
  <c r="E11" i="10"/>
  <c r="E12" i="10"/>
  <c r="E13" i="10"/>
  <c r="E14" i="10"/>
  <c r="E15" i="10"/>
  <c r="E16" i="10"/>
  <c r="E17" i="10"/>
  <c r="E18" i="10"/>
  <c r="E19" i="10"/>
  <c r="E20" i="10"/>
  <c r="E21" i="10"/>
  <c r="E22" i="10"/>
  <c r="E23" i="10"/>
  <c r="E24" i="10"/>
  <c r="E25" i="10"/>
  <c r="E27" i="10"/>
  <c r="E28" i="10"/>
  <c r="E29" i="10"/>
  <c r="E31" i="10"/>
  <c r="E32" i="10"/>
  <c r="E34" i="10"/>
  <c r="E38" i="10"/>
  <c r="E39" i="10"/>
  <c r="E40" i="10"/>
  <c r="E41" i="10"/>
  <c r="E42" i="10"/>
  <c r="E43" i="10"/>
  <c r="E44" i="10"/>
  <c r="E45" i="10"/>
  <c r="E46" i="10"/>
  <c r="E47" i="10"/>
  <c r="E48" i="10"/>
  <c r="E49" i="10"/>
  <c r="E50" i="10"/>
  <c r="E51" i="10"/>
  <c r="E52"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2" i="10"/>
  <c r="J44" i="9"/>
  <c r="L44" i="9"/>
  <c r="K44"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1" i="9"/>
  <c r="J42" i="9"/>
  <c r="J43" i="9"/>
  <c r="F728" i="11" l="1"/>
  <c r="F727" i="11"/>
  <c r="F726" i="11"/>
  <c r="F725" i="11"/>
  <c r="F724" i="11"/>
  <c r="F723" i="11"/>
  <c r="F722" i="11"/>
  <c r="F721" i="11"/>
  <c r="F720" i="11"/>
  <c r="F719" i="11"/>
  <c r="F718" i="11"/>
  <c r="F717" i="11"/>
  <c r="F716" i="11"/>
  <c r="F715" i="11"/>
  <c r="F714" i="11"/>
  <c r="F713" i="11"/>
  <c r="F712" i="11"/>
  <c r="F711" i="11"/>
  <c r="F710" i="11"/>
  <c r="F709" i="11"/>
  <c r="F708" i="11"/>
  <c r="F707" i="11"/>
  <c r="F706" i="11"/>
  <c r="F705" i="11"/>
  <c r="F704" i="11"/>
  <c r="F703" i="11"/>
  <c r="F702" i="11"/>
  <c r="F701" i="11"/>
  <c r="F700" i="11"/>
  <c r="F699" i="11"/>
  <c r="F698" i="11"/>
  <c r="F697" i="11"/>
  <c r="F696" i="11"/>
  <c r="F695" i="11"/>
  <c r="F694" i="11"/>
  <c r="F693" i="11"/>
  <c r="F692" i="11"/>
  <c r="F691" i="11"/>
  <c r="F690" i="11"/>
  <c r="F689" i="11"/>
  <c r="F688" i="11"/>
  <c r="F687" i="11"/>
  <c r="F686" i="11"/>
  <c r="F685" i="11"/>
  <c r="F684" i="11"/>
  <c r="F683" i="11"/>
  <c r="F682" i="11"/>
  <c r="F681" i="11"/>
  <c r="F680" i="11"/>
  <c r="F679" i="11"/>
  <c r="F678" i="11"/>
  <c r="F677" i="11"/>
  <c r="F676" i="11"/>
  <c r="F675" i="11"/>
  <c r="F674" i="11"/>
  <c r="F673" i="11"/>
  <c r="F672" i="11"/>
  <c r="F671" i="11"/>
  <c r="F670" i="11"/>
  <c r="F669" i="11"/>
  <c r="F668" i="11"/>
  <c r="F667" i="11"/>
  <c r="F663" i="11"/>
  <c r="F662" i="11"/>
  <c r="F661" i="11"/>
  <c r="F660" i="11"/>
  <c r="F659" i="11"/>
  <c r="F658" i="11"/>
  <c r="F657" i="11"/>
  <c r="F656" i="11"/>
  <c r="F655" i="11"/>
  <c r="F654" i="11"/>
  <c r="F653" i="11"/>
  <c r="F652" i="11"/>
  <c r="F651" i="11"/>
  <c r="F650" i="11"/>
  <c r="F649" i="11"/>
  <c r="F648" i="11"/>
  <c r="F647"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13" i="11"/>
  <c r="F612" i="11"/>
  <c r="F611" i="11"/>
  <c r="F610" i="11"/>
  <c r="F609" i="11"/>
  <c r="F608" i="11"/>
  <c r="F607" i="11"/>
  <c r="F606" i="11"/>
  <c r="F605" i="11"/>
  <c r="F604" i="11"/>
  <c r="F603" i="11"/>
  <c r="F602" i="11"/>
  <c r="F601" i="11"/>
  <c r="F600" i="11"/>
  <c r="F599" i="11"/>
  <c r="F598" i="11"/>
  <c r="F597" i="11"/>
  <c r="F596" i="11"/>
  <c r="F595" i="11"/>
  <c r="F594" i="11"/>
  <c r="F593" i="11"/>
  <c r="F592" i="11"/>
  <c r="F591" i="11"/>
  <c r="F590" i="11"/>
  <c r="F589" i="11"/>
  <c r="F588" i="11"/>
  <c r="F587" i="11"/>
  <c r="F586" i="11"/>
  <c r="F585" i="11"/>
  <c r="F584" i="11"/>
  <c r="F583" i="11"/>
  <c r="F582" i="11"/>
  <c r="F581" i="11"/>
  <c r="F580" i="11"/>
  <c r="F579" i="11"/>
  <c r="F578" i="11"/>
  <c r="F577" i="11"/>
  <c r="F576" i="11"/>
  <c r="F575" i="11"/>
  <c r="F574" i="11"/>
  <c r="F573" i="11"/>
  <c r="F572" i="11"/>
  <c r="F571" i="11"/>
  <c r="F570" i="11"/>
  <c r="F569" i="11"/>
  <c r="F568" i="11"/>
  <c r="F567" i="11"/>
  <c r="F566" i="11"/>
  <c r="F565" i="11"/>
  <c r="F564" i="11"/>
  <c r="F563"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F454" i="11"/>
  <c r="F453" i="11"/>
  <c r="F452" i="11"/>
  <c r="F451" i="11"/>
  <c r="F450" i="11"/>
  <c r="F449" i="11"/>
  <c r="F448" i="11"/>
  <c r="F447" i="11"/>
  <c r="F446" i="11"/>
  <c r="F445" i="11"/>
  <c r="F444" i="11"/>
  <c r="F443" i="11"/>
  <c r="F442" i="11"/>
  <c r="F736" i="5"/>
  <c r="F735" i="5"/>
  <c r="F734" i="5"/>
  <c r="F733" i="5"/>
  <c r="F732" i="5"/>
  <c r="F731" i="5"/>
  <c r="F730" i="5"/>
  <c r="F729" i="5"/>
  <c r="F728" i="5"/>
  <c r="F727" i="5"/>
  <c r="F726" i="5"/>
  <c r="F725" i="5"/>
  <c r="F724" i="5"/>
  <c r="F723" i="5"/>
  <c r="F722" i="5"/>
  <c r="F721" i="5"/>
  <c r="F720" i="5"/>
  <c r="F719" i="5"/>
  <c r="F718" i="5"/>
  <c r="F717" i="5"/>
  <c r="F716" i="5"/>
  <c r="F715" i="5"/>
  <c r="F714" i="5"/>
  <c r="F713" i="5"/>
  <c r="F712" i="5"/>
  <c r="F711" i="5"/>
  <c r="F710" i="5"/>
  <c r="F709" i="5"/>
  <c r="F708" i="5"/>
  <c r="F707" i="5"/>
  <c r="F706" i="5"/>
  <c r="F705" i="5"/>
  <c r="F704" i="5"/>
  <c r="F703" i="5"/>
  <c r="F702" i="5"/>
  <c r="F701" i="5"/>
  <c r="F700" i="5"/>
  <c r="F699" i="5"/>
  <c r="F698" i="5"/>
  <c r="F697" i="5"/>
  <c r="F696" i="5"/>
  <c r="F695" i="5"/>
  <c r="F694" i="5"/>
  <c r="F693" i="5"/>
  <c r="F692" i="5"/>
  <c r="F691" i="5"/>
  <c r="F690" i="5"/>
  <c r="F689" i="5"/>
  <c r="F688" i="5"/>
  <c r="F687" i="5"/>
  <c r="F686" i="5"/>
  <c r="F685" i="5"/>
  <c r="F684" i="5"/>
  <c r="F683" i="5"/>
  <c r="F682" i="5"/>
  <c r="F681" i="5"/>
  <c r="F680" i="5"/>
  <c r="F679" i="5"/>
  <c r="F678" i="5"/>
  <c r="F677" i="5"/>
  <c r="F676" i="5"/>
  <c r="F675" i="5"/>
  <c r="F671" i="5"/>
  <c r="F670" i="5"/>
  <c r="F669" i="5"/>
  <c r="F668" i="5"/>
  <c r="F667" i="5"/>
  <c r="F666" i="5"/>
  <c r="F665" i="5"/>
  <c r="F664" i="5"/>
  <c r="F663" i="5"/>
  <c r="F662" i="5"/>
  <c r="F661" i="5"/>
  <c r="F660" i="5"/>
  <c r="F659" i="5"/>
  <c r="F658" i="5"/>
  <c r="F657" i="5"/>
  <c r="F656" i="5"/>
  <c r="F655" i="5"/>
  <c r="F653" i="5"/>
  <c r="F652" i="5"/>
  <c r="F651" i="5"/>
  <c r="F650" i="5"/>
  <c r="F649" i="5"/>
  <c r="F648" i="5"/>
  <c r="F647" i="5"/>
  <c r="F646" i="5"/>
  <c r="F645" i="5"/>
  <c r="F644" i="5"/>
  <c r="F643" i="5"/>
  <c r="F642" i="5"/>
  <c r="F641" i="5"/>
  <c r="F640" i="5"/>
  <c r="F639" i="5"/>
  <c r="F638" i="5"/>
  <c r="F637" i="5"/>
  <c r="F636" i="5"/>
  <c r="F635" i="5"/>
  <c r="F634" i="5"/>
  <c r="F633" i="5"/>
  <c r="F632" i="5"/>
  <c r="F631" i="5"/>
  <c r="F630" i="5"/>
  <c r="F629" i="5"/>
  <c r="F628" i="5"/>
  <c r="F627" i="5"/>
  <c r="F626" i="5"/>
  <c r="F625" i="5"/>
  <c r="F624" i="5"/>
  <c r="F623" i="5"/>
  <c r="F622" i="5"/>
  <c r="F621" i="5"/>
  <c r="F620" i="5"/>
  <c r="F619" i="5"/>
  <c r="F618" i="5"/>
  <c r="F617" i="5"/>
  <c r="F616" i="5"/>
  <c r="F615" i="5"/>
  <c r="F614" i="5"/>
  <c r="F613" i="5"/>
  <c r="F612" i="5"/>
  <c r="F611" i="5"/>
  <c r="F610" i="5"/>
  <c r="F609" i="5"/>
  <c r="F608" i="5"/>
  <c r="F607" i="5"/>
  <c r="F606" i="5"/>
  <c r="F605" i="5"/>
  <c r="F604" i="5"/>
  <c r="F603" i="5"/>
  <c r="F602" i="5"/>
  <c r="F601" i="5"/>
  <c r="F600" i="5"/>
  <c r="F599" i="5"/>
  <c r="F598" i="5"/>
  <c r="F597" i="5"/>
  <c r="F596" i="5"/>
  <c r="F595" i="5"/>
  <c r="F594" i="5"/>
  <c r="F593" i="5"/>
  <c r="F592" i="5"/>
  <c r="F591" i="5"/>
  <c r="F590" i="5"/>
  <c r="F589" i="5"/>
  <c r="F588" i="5"/>
  <c r="F587" i="5"/>
  <c r="F586" i="5"/>
  <c r="F585" i="5"/>
  <c r="F584" i="5"/>
  <c r="F583" i="5"/>
  <c r="F582" i="5"/>
  <c r="F581" i="5"/>
  <c r="F580" i="5"/>
  <c r="F579" i="5"/>
  <c r="F578" i="5"/>
  <c r="F577" i="5"/>
  <c r="F576" i="5"/>
  <c r="F575" i="5"/>
  <c r="F574" i="5"/>
  <c r="F573" i="5"/>
  <c r="F572" i="5"/>
  <c r="F571" i="5"/>
  <c r="F570" i="5"/>
  <c r="F569" i="5"/>
  <c r="F568" i="5"/>
  <c r="F567" i="5"/>
  <c r="F566" i="5"/>
  <c r="F565" i="5"/>
  <c r="F564" i="5"/>
  <c r="F563" i="5"/>
  <c r="F562" i="5"/>
  <c r="F561" i="5"/>
  <c r="F560" i="5"/>
  <c r="F559" i="5"/>
  <c r="F558" i="5"/>
  <c r="F557" i="5"/>
  <c r="F737" i="4"/>
  <c r="F736" i="4"/>
  <c r="F735" i="4"/>
  <c r="F734" i="4"/>
  <c r="F733" i="4"/>
  <c r="F732" i="4"/>
  <c r="F731" i="4"/>
  <c r="F730" i="4"/>
  <c r="F729" i="4"/>
  <c r="F728" i="4"/>
  <c r="F727" i="4"/>
  <c r="F726" i="4"/>
  <c r="F725" i="4"/>
  <c r="F724" i="4"/>
  <c r="F723" i="4"/>
  <c r="F722" i="4"/>
  <c r="F721" i="4"/>
  <c r="F720" i="4"/>
  <c r="F719" i="4"/>
  <c r="F718" i="4"/>
  <c r="F717" i="4"/>
  <c r="F716" i="4"/>
  <c r="F715" i="4"/>
  <c r="F714" i="4"/>
  <c r="F713" i="4"/>
  <c r="F712" i="4"/>
  <c r="F711" i="4"/>
  <c r="F710" i="4"/>
  <c r="F709" i="4"/>
  <c r="F708" i="4"/>
  <c r="F707" i="4"/>
  <c r="F706" i="4"/>
  <c r="F705" i="4"/>
  <c r="F704" i="4"/>
  <c r="F703" i="4"/>
  <c r="F702" i="4"/>
  <c r="F701" i="4"/>
  <c r="F700" i="4"/>
  <c r="F699" i="4"/>
  <c r="F698" i="4"/>
  <c r="F697" i="4"/>
  <c r="F696" i="4"/>
  <c r="F695" i="4"/>
  <c r="F694" i="4"/>
  <c r="F693" i="4"/>
  <c r="F692" i="4"/>
  <c r="F691" i="4"/>
  <c r="F690" i="4"/>
  <c r="F689" i="4"/>
  <c r="F688" i="4"/>
  <c r="F687" i="4"/>
  <c r="F686" i="4"/>
  <c r="F685" i="4"/>
  <c r="F684" i="4"/>
  <c r="F683" i="4"/>
  <c r="F682" i="4"/>
  <c r="F681" i="4"/>
  <c r="F680" i="4"/>
  <c r="F679" i="4"/>
  <c r="F678" i="4"/>
  <c r="F677" i="4"/>
  <c r="F676" i="4"/>
  <c r="F672" i="4"/>
  <c r="F671" i="4"/>
  <c r="F670" i="4"/>
  <c r="F669" i="4"/>
  <c r="F668" i="4"/>
  <c r="F667" i="4"/>
  <c r="F666" i="4"/>
  <c r="F665" i="4"/>
  <c r="F664" i="4"/>
  <c r="F663" i="4"/>
  <c r="F662" i="4"/>
  <c r="F661" i="4"/>
  <c r="F660" i="4"/>
  <c r="F659" i="4"/>
  <c r="F658" i="4"/>
  <c r="F657" i="4"/>
  <c r="F656" i="4"/>
  <c r="F654" i="4"/>
  <c r="F653" i="4"/>
  <c r="F652" i="4"/>
  <c r="F651" i="4"/>
  <c r="F650" i="4"/>
  <c r="F649" i="4"/>
  <c r="F648" i="4"/>
  <c r="F647" i="4"/>
  <c r="F646" i="4"/>
  <c r="F645" i="4"/>
  <c r="F644" i="4"/>
  <c r="F643" i="4"/>
  <c r="F642" i="4"/>
  <c r="F641" i="4"/>
  <c r="F640" i="4"/>
  <c r="F639" i="4"/>
  <c r="F638" i="4"/>
  <c r="F637" i="4"/>
  <c r="F636" i="4"/>
  <c r="F635" i="4"/>
  <c r="F634" i="4"/>
  <c r="F633" i="4"/>
  <c r="F632" i="4"/>
  <c r="F631" i="4"/>
  <c r="F630" i="4"/>
  <c r="F629" i="4"/>
  <c r="F628" i="4"/>
  <c r="F627" i="4"/>
  <c r="F626" i="4"/>
  <c r="F625" i="4"/>
  <c r="F624" i="4"/>
  <c r="F623" i="4"/>
  <c r="F622" i="4"/>
  <c r="F621" i="4"/>
  <c r="F620" i="4"/>
  <c r="F619" i="4"/>
  <c r="F618" i="4"/>
  <c r="F617" i="4"/>
  <c r="F616" i="4"/>
  <c r="F615" i="4"/>
  <c r="F614" i="4"/>
  <c r="F613" i="4"/>
  <c r="F612" i="4"/>
  <c r="F611" i="4"/>
  <c r="F610" i="4"/>
  <c r="F609" i="4"/>
  <c r="F608" i="4"/>
  <c r="F607" i="4"/>
  <c r="F606" i="4"/>
  <c r="F605" i="4"/>
  <c r="F604" i="4"/>
  <c r="F603" i="4"/>
  <c r="F602" i="4"/>
  <c r="F601" i="4"/>
  <c r="F600" i="4"/>
  <c r="F599" i="4"/>
  <c r="F598" i="4"/>
  <c r="F597" i="4"/>
  <c r="F596" i="4"/>
  <c r="F595" i="4"/>
  <c r="F594" i="4"/>
  <c r="F593" i="4"/>
  <c r="F592" i="4"/>
  <c r="F591" i="4"/>
  <c r="F590" i="4"/>
  <c r="F589" i="4"/>
  <c r="F588" i="4"/>
  <c r="F587" i="4"/>
  <c r="F586" i="4"/>
  <c r="F585" i="4"/>
  <c r="F584" i="4"/>
  <c r="F583" i="4"/>
  <c r="F582" i="4"/>
  <c r="F581" i="4"/>
  <c r="F580" i="4"/>
  <c r="F579" i="4"/>
  <c r="F578" i="4"/>
  <c r="F577" i="4"/>
  <c r="F576" i="4"/>
  <c r="F575" i="4"/>
  <c r="F574" i="4"/>
  <c r="F573" i="4"/>
  <c r="F572" i="4"/>
  <c r="F571" i="4"/>
  <c r="F570" i="4"/>
  <c r="F569" i="4"/>
  <c r="F568" i="4"/>
  <c r="F567" i="4"/>
  <c r="F566" i="4"/>
  <c r="F565" i="4"/>
  <c r="F564" i="4"/>
  <c r="F563" i="4"/>
  <c r="F562" i="4"/>
  <c r="F561" i="4"/>
  <c r="F560" i="4"/>
  <c r="F559" i="4"/>
  <c r="F558" i="4"/>
  <c r="F557" i="4"/>
  <c r="F556" i="4"/>
  <c r="F555" i="4"/>
  <c r="F554" i="4"/>
  <c r="F553" i="4"/>
  <c r="F552" i="4"/>
  <c r="F551" i="4"/>
  <c r="F550" i="4"/>
  <c r="F549" i="4"/>
  <c r="F548" i="4"/>
  <c r="F547" i="4"/>
  <c r="F546" i="4"/>
  <c r="F545" i="4"/>
  <c r="F544" i="4"/>
  <c r="F543" i="4"/>
  <c r="F542" i="4"/>
  <c r="F541" i="4"/>
  <c r="F540" i="4"/>
  <c r="F539" i="4"/>
  <c r="F538" i="4"/>
  <c r="F537" i="4"/>
  <c r="F536" i="4"/>
  <c r="F535" i="4"/>
  <c r="F534" i="4"/>
  <c r="F533" i="4"/>
  <c r="F532" i="4"/>
  <c r="F531" i="4"/>
  <c r="F530" i="4"/>
  <c r="F529" i="4"/>
  <c r="F528" i="4"/>
  <c r="F527" i="4"/>
  <c r="F526" i="4"/>
  <c r="F525" i="4"/>
  <c r="F524" i="4"/>
  <c r="F523" i="4"/>
  <c r="F522" i="4"/>
  <c r="F521" i="4"/>
  <c r="F520" i="4"/>
  <c r="F519" i="4"/>
  <c r="F518" i="4"/>
  <c r="F517" i="4"/>
  <c r="F516" i="4"/>
  <c r="F515" i="4"/>
  <c r="F514" i="4"/>
  <c r="F513" i="4"/>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67" i="3"/>
  <c r="F666" i="3"/>
  <c r="F665" i="3"/>
  <c r="F664" i="3"/>
  <c r="F663" i="3"/>
  <c r="F662" i="3"/>
  <c r="F661" i="3"/>
  <c r="F660" i="3"/>
  <c r="F659" i="3"/>
  <c r="F658" i="3"/>
  <c r="F657" i="3"/>
  <c r="F656" i="3"/>
  <c r="F655" i="3"/>
  <c r="F654" i="3"/>
  <c r="F653" i="3"/>
  <c r="F652" i="3"/>
  <c r="F651"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6" i="2"/>
  <c r="F607" i="2"/>
  <c r="F608" i="2"/>
  <c r="F609" i="2"/>
  <c r="F610" i="2"/>
  <c r="F611" i="2"/>
  <c r="F612" i="2"/>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613" i="2"/>
  <c r="F614" i="2"/>
  <c r="F615" i="2"/>
  <c r="F616" i="2"/>
  <c r="F617" i="2"/>
  <c r="F618" i="2"/>
  <c r="F619" i="2"/>
  <c r="F620" i="2"/>
  <c r="F621" i="2"/>
  <c r="F622"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L43" i="9" l="1"/>
  <c r="K43" i="9"/>
  <c r="L42" i="9"/>
  <c r="K42" i="9"/>
  <c r="L41" i="9"/>
  <c r="K41" i="9"/>
  <c r="L40" i="9"/>
  <c r="K40" i="9"/>
  <c r="L39" i="9"/>
  <c r="K39" i="9"/>
  <c r="L38" i="9"/>
  <c r="K38" i="9"/>
  <c r="L37" i="9"/>
  <c r="K37" i="9"/>
  <c r="L36" i="9"/>
  <c r="K36" i="9"/>
  <c r="L35" i="9"/>
  <c r="K35" i="9"/>
  <c r="L34" i="9"/>
  <c r="K34" i="9"/>
  <c r="L33" i="9"/>
  <c r="K33" i="9"/>
  <c r="L32" i="9"/>
  <c r="K32" i="9"/>
  <c r="L31" i="9"/>
  <c r="K31" i="9"/>
  <c r="L30" i="9"/>
  <c r="K30" i="9"/>
  <c r="L29" i="9"/>
  <c r="K29" i="9"/>
  <c r="L28" i="9"/>
  <c r="K28" i="9"/>
  <c r="L27" i="9"/>
  <c r="K27" i="9"/>
  <c r="L26" i="9"/>
  <c r="K26" i="9"/>
  <c r="L25" i="9"/>
  <c r="K25" i="9"/>
  <c r="L24" i="9"/>
  <c r="K24" i="9"/>
  <c r="L23" i="9"/>
  <c r="K23" i="9"/>
  <c r="L22" i="9"/>
  <c r="K22" i="9"/>
  <c r="L21" i="9"/>
  <c r="K21" i="9"/>
  <c r="L20" i="9"/>
  <c r="K20" i="9"/>
  <c r="L19" i="9"/>
  <c r="K19" i="9"/>
  <c r="L18" i="9"/>
  <c r="K18" i="9"/>
  <c r="L17" i="9"/>
  <c r="K17" i="9"/>
  <c r="L16" i="9"/>
  <c r="K16" i="9"/>
  <c r="L15" i="9"/>
  <c r="K15" i="9"/>
  <c r="L14" i="9"/>
  <c r="K14" i="9"/>
  <c r="L13" i="9"/>
  <c r="K13" i="9"/>
  <c r="L12" i="9"/>
  <c r="K12" i="9"/>
  <c r="L11" i="9"/>
  <c r="K11" i="9"/>
  <c r="L10" i="9"/>
  <c r="K10" i="9"/>
  <c r="L9" i="9"/>
  <c r="K9" i="9"/>
  <c r="L8" i="9"/>
  <c r="K8" i="9"/>
  <c r="L7" i="9"/>
  <c r="K7" i="9"/>
  <c r="L6" i="9"/>
  <c r="K6" i="9"/>
  <c r="L5" i="9"/>
  <c r="K5" i="9"/>
  <c r="L4" i="9"/>
  <c r="K4" i="9"/>
  <c r="L3" i="9"/>
  <c r="K3" i="9"/>
  <c r="L2" i="9"/>
  <c r="K2" i="9"/>
  <c r="J2" i="9"/>
</calcChain>
</file>

<file path=xl/sharedStrings.xml><?xml version="1.0" encoding="utf-8"?>
<sst xmlns="http://schemas.openxmlformats.org/spreadsheetml/2006/main" count="1917" uniqueCount="275">
  <si>
    <t>Date</t>
  </si>
  <si>
    <t xml:space="preserve">Resource </t>
  </si>
  <si>
    <t>Activity</t>
  </si>
  <si>
    <t>Project Name</t>
  </si>
  <si>
    <t>Project Phases</t>
  </si>
  <si>
    <t>Frequency</t>
  </si>
  <si>
    <t>Effort (in hrs)</t>
  </si>
  <si>
    <t>Comments</t>
  </si>
  <si>
    <t>Project</t>
  </si>
  <si>
    <t>Review</t>
  </si>
  <si>
    <t>KT</t>
  </si>
  <si>
    <t>Training</t>
  </si>
  <si>
    <t>Meeting</t>
  </si>
  <si>
    <t>Status Meeting</t>
  </si>
  <si>
    <t>MISC</t>
  </si>
  <si>
    <t>LQ Churn Dashboard Summary - Weekly (Bus Sol)</t>
  </si>
  <si>
    <t>LCTL Churn Dashboard Summary- Weekly (DWPRD Segment B)</t>
  </si>
  <si>
    <t>Promo Churn Report LQ - Weekly (BUS SOL)</t>
  </si>
  <si>
    <t>Promo Churn Report LCTL - Weekly (DWPRD Segment B)</t>
  </si>
  <si>
    <t>ETF analysis HSI and CC</t>
  </si>
  <si>
    <t>SB Daily, Weekly, Monthly Dashboard</t>
  </si>
  <si>
    <t>Life Time Value Project - Inputs</t>
  </si>
  <si>
    <t>SMB Leading Sales Indicator</t>
  </si>
  <si>
    <t>Pending Prism Funnel Report</t>
  </si>
  <si>
    <t>Promo  LQ and LCTL Discretionary Reports</t>
  </si>
  <si>
    <t>HSI CHURN - TST IMPACTS</t>
  </si>
  <si>
    <t>IMMX Sale Dashboard- Phase 2</t>
  </si>
  <si>
    <t>Prism Dashboard</t>
  </si>
  <si>
    <t>Small Business Integrated Churn Scorecard-Daily</t>
  </si>
  <si>
    <t xml:space="preserve">SB Retention on Report cleanup and optimization request </t>
  </si>
  <si>
    <t>Phase 2: CC2 Data request</t>
  </si>
  <si>
    <t>2014 Small Bus Call Center - Main Focus Areas Request</t>
  </si>
  <si>
    <t>Vendor Partner Compensation Dashboard</t>
  </si>
  <si>
    <t>SOHO RR Dashboard</t>
  </si>
  <si>
    <t>To extract churn data at BTN level for HSI and B1 products for both LQ and LCTL</t>
  </si>
  <si>
    <t>SB Retention Report Cleanup &amp; Optimization Request</t>
  </si>
  <si>
    <t>Porting Report</t>
  </si>
  <si>
    <t>Educational Institutes potential</t>
  </si>
  <si>
    <t xml:space="preserve">Propensity to Churn trial </t>
  </si>
  <si>
    <t>Drop Schedule</t>
  </si>
  <si>
    <t>SMB Product Overview KPIs</t>
  </si>
  <si>
    <t>Smart Home</t>
  </si>
  <si>
    <t>B360 reconciliation</t>
  </si>
  <si>
    <t>Monthly Metrics    (From SFDC)</t>
  </si>
  <si>
    <t>Product Installation &amp; Equipment Report</t>
  </si>
  <si>
    <t>Funnel forecasting</t>
  </si>
  <si>
    <t>PMC reports</t>
  </si>
  <si>
    <t>Phase 2: Sequential Billing Activity</t>
  </si>
  <si>
    <t>MOM Customer Detail: Growers and Shrinkers</t>
  </si>
  <si>
    <t>Funnel Forecasting Phase II</t>
  </si>
  <si>
    <t>HSI Churn Propensity</t>
  </si>
  <si>
    <t>PMC Phase-2</t>
  </si>
  <si>
    <t>LCTL BTN churn summary report -Enhancement</t>
  </si>
  <si>
    <t>LQ Call Data</t>
  </si>
  <si>
    <t>Unlimited Closing Tool</t>
  </si>
  <si>
    <t>Summary: Vendor Compensation Dashboard Ph 2</t>
  </si>
  <si>
    <t>RR Modelling</t>
  </si>
  <si>
    <t>Sequential Billing Activity - Disconnect Analysis</t>
  </si>
  <si>
    <t>Personal Time</t>
  </si>
  <si>
    <t>Team Outing</t>
  </si>
  <si>
    <t>Vacations</t>
  </si>
  <si>
    <t>Org Meeting</t>
  </si>
  <si>
    <t>Self Learning</t>
  </si>
  <si>
    <t>Weekly</t>
  </si>
  <si>
    <t>Monthly</t>
  </si>
  <si>
    <t>Daily</t>
  </si>
  <si>
    <t>One time</t>
  </si>
  <si>
    <t>Other</t>
  </si>
  <si>
    <t>Project Phase</t>
  </si>
  <si>
    <t>Req Analysis</t>
  </si>
  <si>
    <t>Data Discovery</t>
  </si>
  <si>
    <t>Layout design</t>
  </si>
  <si>
    <t>Validation</t>
  </si>
  <si>
    <t>Deployment</t>
  </si>
  <si>
    <t>PM Activities</t>
  </si>
  <si>
    <t>Analysis Presentation</t>
  </si>
  <si>
    <t>Enhancements</t>
  </si>
  <si>
    <t>Bug Fixing</t>
  </si>
  <si>
    <t>Recurring Delivery</t>
  </si>
  <si>
    <t>Preeti Chaudhary</t>
  </si>
  <si>
    <t>Services for SMB</t>
  </si>
  <si>
    <t>Resource</t>
  </si>
  <si>
    <t>Report Description</t>
  </si>
  <si>
    <t>Project Description</t>
  </si>
  <si>
    <t>Resources</t>
  </si>
  <si>
    <t>Anupam Khanna</t>
  </si>
  <si>
    <t>Priyamvada Joshi</t>
  </si>
  <si>
    <t>Saurabh Yadav</t>
  </si>
  <si>
    <t>Amit Kamra</t>
  </si>
  <si>
    <t>Saurabh Arora</t>
  </si>
  <si>
    <t>Shenan Kalra</t>
  </si>
  <si>
    <t>Anand Vardhan</t>
  </si>
  <si>
    <t>Dates</t>
  </si>
  <si>
    <t>Weekly Churn Report of Bus Soln customer on LQ Side</t>
  </si>
  <si>
    <t>Weekly Churn Report of Bus Soln customer on LCTL Side</t>
  </si>
  <si>
    <t>Promo Reporting on LQ Side</t>
  </si>
  <si>
    <t>Promo Reporting on LCTL Side</t>
  </si>
  <si>
    <t>To identify customers who were charged ETF</t>
  </si>
  <si>
    <t>To track Small Business KPIs</t>
  </si>
  <si>
    <t>To split LQ/LCTL HSI sales across product categories</t>
  </si>
  <si>
    <t>(Business Customers – Includes both CenturyLink Legacy and Q Legacy Customers) The attached customer list includes customers that have Core Connect or HSI who received technical help installing their Cloud Services. They need to be compared to the entire HSI base (excluding them). They need to be tracked on a go forward basis to compare how they churn vs. customers who didn’t get technical help. Example: Customer123 came in during January 2013. Track that customer through each end of month to verify his status and report on the month in which he churned. See the attached customer list for the customers to compare. There is also an example of a report mock up included on the attached file. This report should be produced so that we can continue on each month to track the customers provided as well as additional customers who recieve technical assistance in the future.</t>
  </si>
  <si>
    <t>To track sales compensation for Immerge partner</t>
  </si>
  <si>
    <t>Dashboard for CC</t>
  </si>
  <si>
    <t xml:space="preserve">Processing data for vendor comp (Alt market + Indirect Retail) for both LQ and LCTL </t>
  </si>
  <si>
    <t>Preparaing the drops report for both Business and Consumer</t>
  </si>
  <si>
    <t>SMB Products overview dashboard</t>
  </si>
  <si>
    <t xml:space="preserve">Requirements:
1. CPE:
a. Total CPE cost per each customer with ability to drill down to see a breakdown of devices each customer purchased.
b. CPE breakdown by model number (I.e. by model number of security panel, camera, thermostat, etc.) In this case, I want to know how many of each model we have installed and what the costs associated with each model number are. This is so I can track SKU activity and sell through success.
2. Installation Costs:
a. Total installation costs per customer. This is where it gets sticky: Currently, when an installer is unable to complete an installation on the initial installation date and has to schedule a return visit, the initial ticket is closed and the follow up visit is coded as a service call. This is causing confusion in terms of determining real installation costs vs. service costs. I would like to know the instance rate for installation calls and total installation costs per customer.
b. I would also like to know what the real service call costs are. This is the instance rate of service calls after the system has been installed and working and not service calls to finish installations or install additional equipment purchased after the installation of the system has been completed.
c. System add on service calls. These are costs incurred when the customer elects to buy additional equipment and schedules a tech to come back and install the equipment.
3. Travel charges:
a. Travel charges associated with new installations
b. Travel charges associated with service calls
c. Travel charges associated with add on sales.
</t>
  </si>
  <si>
    <t>Provide a sub group summary of Vendor compensation dashboard</t>
  </si>
  <si>
    <t>This report has approach to track over usage and abuse of key discretionary promos.Channel and Rep level tracking is required for ENS and CRIS Business Customer</t>
  </si>
  <si>
    <t>Phase 2: Daily Weekly Monthly Dashboard</t>
  </si>
  <si>
    <t>Basic KPIs of HIS and B1</t>
  </si>
  <si>
    <t>To identify customers who taken Promo 448K and D20301.</t>
  </si>
  <si>
    <t>To include OM_Order_Id and Rep_Comments in the LCTL BTN Churn report.</t>
  </si>
  <si>
    <t>Saurabh yadav</t>
  </si>
  <si>
    <t>Dashboard containing KPIs of all the products of SMB</t>
  </si>
  <si>
    <t>Churn Tracker at BTN level.</t>
  </si>
  <si>
    <t>To track calls and drops for soho TF</t>
  </si>
  <si>
    <t>IMMX Sale Dashboard</t>
  </si>
  <si>
    <t>This report helps to gain clear business insights on customer churn on different dimensions like Region, State wise, Aon, speed includes both product B1 and HSI</t>
  </si>
  <si>
    <t>CLOSED</t>
  </si>
  <si>
    <t>Response Rate Modeling</t>
  </si>
  <si>
    <t>CTL Business customers need to know the efficiency of the PROMOS and improve the conversion rate of promos and close rates of promo</t>
  </si>
  <si>
    <t>This scorecard track churn and identify key trends in customer churn for HSI,B1 for historically for last 2 years and YTD daily for small business customers of both legacy customers</t>
  </si>
  <si>
    <t>Newsletter</t>
  </si>
  <si>
    <t>Promo Efficiency Analysis</t>
  </si>
  <si>
    <t>Analyse historical response rates to determine most likely customers to respond. Hence improving response rates.</t>
  </si>
  <si>
    <t>LQ Call Volume Maintenance</t>
  </si>
  <si>
    <t>LQ Call volume report for consumer</t>
  </si>
  <si>
    <t>Extract Prism PPV VOD Data</t>
  </si>
  <si>
    <t>Prism PPV VOD Data</t>
  </si>
  <si>
    <t>13 months rolling dashboard on the leads data from SFDC</t>
  </si>
  <si>
    <t>Agent Promo Usage Tool</t>
  </si>
  <si>
    <t>To Map SAPIDs to all agents/reps, selling promos for VOICE and HSI</t>
  </si>
  <si>
    <t>Sub Group Summary - Vendor Commission Dashboard</t>
  </si>
  <si>
    <t>Sub Group Summary for Vendor Commission Dashboard</t>
  </si>
  <si>
    <t>Promo Usage Tool</t>
  </si>
  <si>
    <t>IMMX and Clearlink Sales Dashboard</t>
  </si>
  <si>
    <t>To track sales compensation of Immerge and Clearlink SOHO for both HSI &amp; Voice</t>
  </si>
  <si>
    <t>Usage report of all discretionary promos for both CRIS and ENS of Inwards &amp; Mig_Inwards customers with Channels, Agents, SAPIDs and Account Number information</t>
  </si>
  <si>
    <t>Customer Segmentation for PPV/VOD Propensity</t>
  </si>
  <si>
    <t>Marketing always strive to create the right services and right offers to sell products  to those customer which are the best ones and which spend more for these services.
 Knowledge of   Prism service most likely to rental movies and their stickiness information would enable how often these service  are used and how much they spend for these service</t>
  </si>
  <si>
    <t>LTV for PRISM</t>
  </si>
  <si>
    <t>Life time value for PRISM customers</t>
  </si>
  <si>
    <t>Profiling PRISM Customer</t>
  </si>
  <si>
    <t>Slide and Dice of PRISM customers based on Revenue</t>
  </si>
  <si>
    <t>Process Audit</t>
  </si>
  <si>
    <t>Marketing Maven</t>
  </si>
  <si>
    <t>Business Workfile</t>
  </si>
  <si>
    <t>close rate dashboard</t>
  </si>
  <si>
    <t>Fortnightly</t>
  </si>
  <si>
    <t>Determines the cloase rate of the campaigns running for small business</t>
  </si>
  <si>
    <t>Campign Mangement Tool</t>
  </si>
  <si>
    <t>Captures all the activities of SMB campaigns.</t>
  </si>
  <si>
    <t>AdhocRequest</t>
  </si>
  <si>
    <t>Promo Roll Off</t>
  </si>
  <si>
    <t>Phase 2: CC dashboard:CRIS Side implementation</t>
  </si>
  <si>
    <t>CRIS Side Core Connect information</t>
  </si>
  <si>
    <t>Report of the customers whose promo is going to be rolled off during that month</t>
  </si>
  <si>
    <t>ProjMeeting</t>
  </si>
  <si>
    <t>Saanchi Maheshwari</t>
  </si>
  <si>
    <t>New to Logo and Full disconnect customer analysis</t>
  </si>
  <si>
    <t>Process Measurements</t>
  </si>
  <si>
    <t>Improvements on process</t>
  </si>
  <si>
    <t>Pending Order Analysis</t>
  </si>
  <si>
    <t>EPGIC</t>
  </si>
  <si>
    <t>Vendor Performance Analysis</t>
  </si>
  <si>
    <t>Sequential Billing Activity</t>
  </si>
  <si>
    <t>New KPI Design</t>
  </si>
  <si>
    <t>HSI CUSTOMER SEGMENTATION</t>
  </si>
  <si>
    <t>Porting reports</t>
  </si>
  <si>
    <t>Retention and Active HSI Dashboard</t>
  </si>
  <si>
    <t>Agent Promo Usage Tool - Phase-3</t>
  </si>
  <si>
    <t>DM Matrix Automation</t>
  </si>
  <si>
    <t>weekly</t>
  </si>
  <si>
    <t>Managed Office</t>
  </si>
  <si>
    <t>Consolidated Churn Dashboard</t>
  </si>
  <si>
    <t>Special Reporting Request</t>
  </si>
  <si>
    <t>To track SaveDesk Sales by Reps for PP1710</t>
  </si>
  <si>
    <t>To track promo usage for Retention and Active HSI Campaigns on both CRIS and ENS. Also includes HSI Promo vs Non Promo Ins.</t>
  </si>
  <si>
    <t>ENS Vacation Incentive Report</t>
  </si>
  <si>
    <t>HR analytics</t>
  </si>
  <si>
    <t>Finding out the employees eligible for payout</t>
  </si>
  <si>
    <t>QC-Business workfile</t>
  </si>
  <si>
    <t>Checking the formulas and number updation</t>
  </si>
  <si>
    <t>Mohit Bansal</t>
  </si>
  <si>
    <t>Growers and Shrinkers</t>
  </si>
  <si>
    <t>Clearlink Sales Dashboard</t>
  </si>
  <si>
    <t>Sangeetha P</t>
  </si>
  <si>
    <t>Retention package automation</t>
  </si>
  <si>
    <t>Digital Berry call lists</t>
  </si>
  <si>
    <t>Sangeetha</t>
  </si>
  <si>
    <t>To track weekly sales of 'Fiber' HSI and bucketize by Speeds for compensation.</t>
  </si>
  <si>
    <t>GPON Sales Compensation</t>
  </si>
  <si>
    <t>Required Analysis</t>
  </si>
  <si>
    <t xml:space="preserve">Data discovery </t>
  </si>
  <si>
    <t xml:space="preserve">Validation </t>
  </si>
  <si>
    <t>PM Activity</t>
  </si>
  <si>
    <t>Bug fixing</t>
  </si>
  <si>
    <t>Enhancement</t>
  </si>
  <si>
    <t>Recurring del</t>
  </si>
  <si>
    <t>Only for new project</t>
  </si>
  <si>
    <t>Project Meeting</t>
  </si>
  <si>
    <t>TOPIC</t>
  </si>
  <si>
    <t>Adhoc Request</t>
  </si>
  <si>
    <t>?</t>
  </si>
  <si>
    <t>prism dashboard</t>
  </si>
  <si>
    <t>Growers/Shirnkers</t>
  </si>
  <si>
    <t>Total Efforts</t>
  </si>
  <si>
    <t>Consolidation churn dashboard</t>
  </si>
  <si>
    <t>Saanchi</t>
  </si>
  <si>
    <t>Saurabh</t>
  </si>
  <si>
    <t>Mohit</t>
  </si>
  <si>
    <t>Preeti</t>
  </si>
  <si>
    <t>Kaggle Competition</t>
  </si>
  <si>
    <t>Enter the Kaggle Titanic Competition &amp; create a Machine Learning model to predict Survival of Titanic passengers.</t>
  </si>
  <si>
    <t>One Time</t>
  </si>
  <si>
    <t>Monthly Planning</t>
  </si>
  <si>
    <t xml:space="preserve"> </t>
  </si>
  <si>
    <t>Gaurav Garg</t>
  </si>
  <si>
    <t>Bi-weekly</t>
  </si>
  <si>
    <t>CRIS CBB OFFSHORE REQUEST</t>
  </si>
  <si>
    <t>A sales work up on CC/CBB bundles</t>
  </si>
  <si>
    <t>Segmentation and geo-targeting of customers</t>
  </si>
  <si>
    <t>To increase the conversion rate of products by segmentation and geo-targeting (Identifying the potential ghosts)</t>
  </si>
  <si>
    <t xml:space="preserve">Weekly Initiative review </t>
  </si>
  <si>
    <t>Deliverable</t>
  </si>
  <si>
    <t>HR Analytics Call</t>
  </si>
  <si>
    <t>Kaggle</t>
  </si>
  <si>
    <t>CMS DSR</t>
  </si>
  <si>
    <t>On shore request to handle campaign data in CMS folder</t>
  </si>
  <si>
    <t>SMB Deliveries</t>
  </si>
  <si>
    <t>Disconnect reasons trend</t>
  </si>
  <si>
    <t>reclassification of buckets</t>
  </si>
  <si>
    <t>Delivery calender</t>
  </si>
  <si>
    <t>Weekly staff meeting</t>
  </si>
  <si>
    <r>
      <rPr>
        <sz val="7"/>
        <color theme="1"/>
        <rFont val="Times New Roman"/>
        <family val="1"/>
      </rPr>
      <t xml:space="preserve"> </t>
    </r>
    <r>
      <rPr>
        <sz val="11"/>
        <color theme="1"/>
        <rFont val="Calibri"/>
        <family val="2"/>
        <scheme val="minor"/>
      </rPr>
      <t>Project updates, New projects in pipeline and Onshore Updates</t>
    </r>
  </si>
  <si>
    <t>All Projects</t>
  </si>
  <si>
    <t xml:space="preserve">effort log </t>
  </si>
  <si>
    <t>Gaurav</t>
  </si>
  <si>
    <t>One-Time</t>
  </si>
  <si>
    <t>Rossman</t>
  </si>
  <si>
    <t>KPI Tracking and calculation meeting</t>
  </si>
  <si>
    <t>Discussion about problems involved in KPI tracking</t>
  </si>
  <si>
    <t>PEMS meeting</t>
  </si>
  <si>
    <t>Half yearly</t>
  </si>
  <si>
    <t>drop schedule</t>
  </si>
  <si>
    <t>bi-weekly</t>
  </si>
  <si>
    <t>report+fixing</t>
  </si>
  <si>
    <t>Initiative</t>
  </si>
  <si>
    <t>Payout List</t>
  </si>
  <si>
    <t>FIRE EVACUATION DRILL</t>
  </si>
  <si>
    <t xml:space="preserve">TREMOR EVACUATION </t>
  </si>
  <si>
    <t>Tremor evacuation</t>
  </si>
  <si>
    <t>Fire evacuation drill</t>
  </si>
  <si>
    <t>Data digging</t>
  </si>
  <si>
    <t>Automation</t>
  </si>
  <si>
    <t>Template fixing</t>
  </si>
  <si>
    <t>Weekly team meeting</t>
  </si>
  <si>
    <t>Open talk</t>
  </si>
  <si>
    <t>Sep and Oct re-run</t>
  </si>
  <si>
    <t>XMAS GAMES planning</t>
  </si>
  <si>
    <t>Cleaing Initiative</t>
  </si>
  <si>
    <t>Fire Drill</t>
  </si>
  <si>
    <t>CC vs CBB</t>
  </si>
  <si>
    <t>LQ data digging</t>
  </si>
  <si>
    <t>Retention Promo vs Cost Analysis</t>
  </si>
  <si>
    <t>Summary &amp; Insights</t>
  </si>
  <si>
    <t>Layout Design</t>
  </si>
  <si>
    <t xml:space="preserve">Kaggle </t>
  </si>
  <si>
    <t>PPT Design</t>
  </si>
  <si>
    <t>Mock Drill</t>
  </si>
  <si>
    <t>Earthquake + Fire Mock Drill</t>
  </si>
  <si>
    <t>Business Metrics for data driven companies</t>
  </si>
  <si>
    <t>Automation Testing</t>
  </si>
  <si>
    <t>git hub testing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</si>
</sst>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9" x14ac:knownFonts="1">
    <font>
      <sz val="11"/>
      <color theme="1"/>
      <name val="Calibri"/>
      <family val="2"/>
      <scheme val="minor"/>
    </font>
    <font>
      <sz val="11"/>
      <name val="Calibri"/>
      <family val="2"/>
      <scheme val="minor"/>
    </font>
    <font>
      <sz val="9"/>
      <color rgb="FF000000"/>
      <name val="Arial"/>
      <family val="2"/>
    </font>
    <font>
      <sz val="11"/>
      <color rgb="FF000000"/>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b/>
      <i/>
      <sz val="11"/>
      <name val="Calibri"/>
      <family val="2"/>
      <scheme val="minor"/>
    </font>
    <font>
      <sz val="7"/>
      <color theme="1"/>
      <name val="Times New Roman"/>
      <family val="1"/>
    </font>
  </fonts>
  <fills count="6">
    <fill>
      <patternFill patternType="none"/>
    </fill>
    <fill>
      <patternFill patternType="gray125"/>
    </fill>
    <fill>
      <patternFill patternType="solid">
        <fgColor theme="0"/>
        <bgColor theme="4" tint="0.59999389629810485"/>
      </patternFill>
    </fill>
    <fill>
      <patternFill patternType="solid">
        <fgColor theme="0"/>
        <bgColor theme="4" tint="0.79998168889431442"/>
      </patternFill>
    </fill>
    <fill>
      <patternFill patternType="solid">
        <fgColor theme="0" tint="-0.249977111117893"/>
        <bgColor indexed="6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3">
    <xf numFmtId="0" fontId="0" fillId="0" borderId="0" xfId="0"/>
    <xf numFmtId="49" fontId="0" fillId="3" borderId="1" xfId="0" applyNumberFormat="1" applyFill="1" applyBorder="1" applyAlignment="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49" fontId="0" fillId="0" borderId="1" xfId="0" applyNumberFormat="1" applyBorder="1" applyAlignment="1"/>
    <xf numFmtId="0" fontId="0" fillId="4" borderId="1" xfId="0" applyFill="1" applyBorder="1"/>
    <xf numFmtId="0" fontId="0" fillId="0" borderId="0" xfId="0" applyBorder="1"/>
    <xf numFmtId="0" fontId="0" fillId="0" borderId="2" xfId="0" applyBorder="1"/>
    <xf numFmtId="0" fontId="0" fillId="0" borderId="0" xfId="0"/>
    <xf numFmtId="0" fontId="0" fillId="0" borderId="1" xfId="0" applyBorder="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0" fontId="0" fillId="0" borderId="7" xfId="0" applyBorder="1"/>
    <xf numFmtId="0" fontId="0" fillId="4" borderId="6" xfId="0" applyFill="1" applyBorder="1"/>
    <xf numFmtId="0" fontId="0" fillId="5" borderId="3" xfId="0" applyFill="1" applyBorder="1"/>
    <xf numFmtId="0" fontId="0" fillId="5" borderId="4" xfId="0" applyFill="1" applyBorder="1"/>
    <xf numFmtId="0" fontId="0" fillId="5" borderId="4" xfId="0" applyFill="1" applyBorder="1" applyAlignment="1">
      <alignment horizontal="center"/>
    </xf>
    <xf numFmtId="0" fontId="0" fillId="5" borderId="5" xfId="0" applyFill="1" applyBorder="1"/>
    <xf numFmtId="0" fontId="1" fillId="5" borderId="4" xfId="0" applyFont="1" applyFill="1" applyBorder="1"/>
    <xf numFmtId="0" fontId="0" fillId="0" borderId="0" xfId="0" applyFill="1" applyBorder="1"/>
    <xf numFmtId="0" fontId="0" fillId="0" borderId="1" xfId="0" applyFill="1" applyBorder="1"/>
    <xf numFmtId="0" fontId="0" fillId="4" borderId="8" xfId="0" applyFill="1" applyBorder="1"/>
    <xf numFmtId="16" fontId="0" fillId="0" borderId="1" xfId="0" applyNumberFormat="1" applyBorder="1"/>
    <xf numFmtId="0" fontId="0" fillId="0" borderId="1" xfId="0" applyBorder="1" applyAlignment="1">
      <alignment horizontal="left" vertical="center" wrapText="1"/>
    </xf>
    <xf numFmtId="0" fontId="0" fillId="4" borderId="6" xfId="0" applyFill="1" applyBorder="1" applyAlignment="1">
      <alignment horizontal="left" vertical="center" wrapText="1"/>
    </xf>
    <xf numFmtId="0" fontId="0" fillId="0" borderId="0" xfId="0" applyAlignment="1">
      <alignment horizontal="left" vertical="center" wrapText="1"/>
    </xf>
    <xf numFmtId="14" fontId="0" fillId="0" borderId="0" xfId="0" applyNumberFormat="1"/>
    <xf numFmtId="0" fontId="0" fillId="0" borderId="0" xfId="0" applyAlignment="1">
      <alignment vertical="center" wrapText="1"/>
    </xf>
    <xf numFmtId="0" fontId="0" fillId="0" borderId="8" xfId="0" applyBorder="1"/>
    <xf numFmtId="0" fontId="0" fillId="0" borderId="8" xfId="0" applyFill="1" applyBorder="1"/>
    <xf numFmtId="0" fontId="0" fillId="0" borderId="1" xfId="0" applyFont="1" applyBorder="1" applyAlignment="1"/>
    <xf numFmtId="0" fontId="2" fillId="0" borderId="0" xfId="0" applyFont="1" applyAlignment="1">
      <alignment horizontal="left" indent="1" readingOrder="1"/>
    </xf>
    <xf numFmtId="0" fontId="0" fillId="0" borderId="0" xfId="0" applyBorder="1" applyAlignment="1">
      <alignment horizontal="left" vertical="center" wrapText="1"/>
    </xf>
    <xf numFmtId="164" fontId="0" fillId="0" borderId="0" xfId="0" applyNumberFormat="1"/>
    <xf numFmtId="0" fontId="0" fillId="0" borderId="1" xfId="0" applyBorder="1" applyAlignment="1">
      <alignment vertical="center"/>
    </xf>
    <xf numFmtId="0" fontId="0" fillId="0" borderId="1" xfId="0" applyFill="1" applyBorder="1" applyAlignment="1">
      <alignment vertical="center"/>
    </xf>
    <xf numFmtId="0" fontId="0" fillId="0" borderId="8" xfId="0"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0" xfId="0" applyAlignment="1"/>
    <xf numFmtId="165" fontId="0" fillId="0" borderId="0" xfId="0" applyNumberFormat="1"/>
    <xf numFmtId="49" fontId="0" fillId="2" borderId="1" xfId="0" applyNumberFormat="1" applyFill="1" applyBorder="1" applyAlignment="1"/>
    <xf numFmtId="0" fontId="0" fillId="0" borderId="0" xfId="0" applyFill="1"/>
    <xf numFmtId="49" fontId="0" fillId="2" borderId="1" xfId="0" applyNumberFormat="1" applyFill="1" applyBorder="1"/>
    <xf numFmtId="14" fontId="0" fillId="0" borderId="0" xfId="0" applyNumberFormat="1" applyAlignment="1">
      <alignment horizontal="right"/>
    </xf>
    <xf numFmtId="0" fontId="0" fillId="5" borderId="0" xfId="0" applyFill="1" applyBorder="1"/>
    <xf numFmtId="0" fontId="0" fillId="4" borderId="7" xfId="0" applyFill="1" applyBorder="1"/>
    <xf numFmtId="0" fontId="0" fillId="4" borderId="9" xfId="0" applyFill="1" applyBorder="1"/>
    <xf numFmtId="0" fontId="0" fillId="4" borderId="2" xfId="0" applyFill="1" applyBorder="1"/>
    <xf numFmtId="0" fontId="0" fillId="5" borderId="10" xfId="0" applyFill="1" applyBorder="1"/>
    <xf numFmtId="0" fontId="0" fillId="5" borderId="11" xfId="0" applyFill="1" applyBorder="1"/>
    <xf numFmtId="0" fontId="3" fillId="0" borderId="0" xfId="0" applyFont="1"/>
    <xf numFmtId="14" fontId="0" fillId="5" borderId="0" xfId="0" applyNumberFormat="1" applyFill="1" applyBorder="1"/>
    <xf numFmtId="0" fontId="4" fillId="0" borderId="0" xfId="0" applyFont="1"/>
    <xf numFmtId="0" fontId="0" fillId="0" borderId="0" xfId="0" applyFill="1" applyBorder="1" applyAlignment="1">
      <alignment wrapText="1"/>
    </xf>
    <xf numFmtId="0" fontId="0" fillId="0" borderId="0" xfId="0" applyFont="1"/>
    <xf numFmtId="14" fontId="0" fillId="0" borderId="0" xfId="0" applyNumberFormat="1" applyFill="1" applyBorder="1"/>
    <xf numFmtId="0" fontId="0" fillId="0" borderId="0" xfId="0" applyNumberFormat="1"/>
    <xf numFmtId="0" fontId="0" fillId="0" borderId="0" xfId="0" applyNumberFormat="1" applyFill="1" applyBorder="1"/>
    <xf numFmtId="164" fontId="0" fillId="0" borderId="0" xfId="0" applyNumberFormat="1" applyFill="1" applyBorder="1"/>
    <xf numFmtId="0" fontId="0" fillId="0" borderId="0" xfId="0" applyBorder="1" applyAlignment="1"/>
    <xf numFmtId="0" fontId="6" fillId="5" borderId="3" xfId="0" applyFont="1" applyFill="1" applyBorder="1" applyAlignment="1">
      <alignment horizontal="center"/>
    </xf>
    <xf numFmtId="0" fontId="6" fillId="5" borderId="4" xfId="0" applyFont="1" applyFill="1" applyBorder="1"/>
    <xf numFmtId="0" fontId="7" fillId="5" borderId="12" xfId="0" applyFont="1" applyFill="1" applyBorder="1"/>
    <xf numFmtId="0" fontId="5" fillId="0" borderId="13" xfId="0" applyFont="1" applyBorder="1"/>
    <xf numFmtId="0" fontId="0" fillId="0" borderId="14" xfId="0" applyBorder="1"/>
    <xf numFmtId="0" fontId="0" fillId="0" borderId="13" xfId="0" applyBorder="1"/>
    <xf numFmtId="0" fontId="5" fillId="0" borderId="15" xfId="0" applyFont="1" applyBorder="1"/>
    <xf numFmtId="0" fontId="0" fillId="0" borderId="16" xfId="0" applyBorder="1"/>
    <xf numFmtId="0" fontId="0" fillId="0" borderId="17" xfId="0" applyBorder="1"/>
    <xf numFmtId="0" fontId="5" fillId="0" borderId="0" xfId="0" applyFont="1"/>
    <xf numFmtId="0" fontId="0" fillId="0" borderId="7" xfId="0" applyFill="1" applyBorder="1"/>
    <xf numFmtId="0" fontId="0" fillId="0" borderId="9" xfId="0" applyFill="1" applyBorder="1"/>
    <xf numFmtId="0" fontId="0" fillId="0" borderId="2" xfId="0" applyFill="1" applyBorder="1"/>
    <xf numFmtId="164" fontId="0" fillId="0" borderId="0" xfId="0" applyNumberFormat="1" applyFont="1"/>
    <xf numFmtId="0" fontId="0" fillId="0" borderId="0" xfId="0" applyAlignment="1">
      <alignment horizontal="left" indent="5"/>
    </xf>
    <xf numFmtId="0" fontId="0" fillId="0" borderId="7" xfId="0" applyBorder="1" applyAlignment="1"/>
    <xf numFmtId="0" fontId="0" fillId="0" borderId="0" xfId="0"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usernames" Target="revisions/userNam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revisionHeaders" Target="revisions/revisionHeader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perations/Effort%20Log/Business/September%202015/EffortLog_Sep_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nd"/>
      <sheetName val="Amit"/>
      <sheetName val="Mohit"/>
      <sheetName val="Preeti"/>
      <sheetName val="Saanchi"/>
      <sheetName val="Saurabh Arora"/>
      <sheetName val="Sangeetha"/>
      <sheetName val="Shenan"/>
      <sheetName val="Data sheet"/>
      <sheetName val="Today's Deliveries"/>
      <sheetName val="Saurabh Yadav"/>
      <sheetName val="Sheet1"/>
    </sheetNames>
    <sheetDataSet>
      <sheetData sheetId="0"/>
      <sheetData sheetId="1"/>
      <sheetData sheetId="2"/>
      <sheetData sheetId="3"/>
      <sheetData sheetId="4"/>
      <sheetData sheetId="5"/>
      <sheetData sheetId="6"/>
      <sheetData sheetId="7"/>
      <sheetData sheetId="8">
        <row r="1">
          <cell r="B1" t="str">
            <v>Project Name</v>
          </cell>
          <cell r="C1" t="str">
            <v>Frequency</v>
          </cell>
        </row>
        <row r="2">
          <cell r="B2" t="str">
            <v>LQ Churn Dashboard Summary - Weekly (Bus Sol)</v>
          </cell>
          <cell r="C2" t="str">
            <v>Weekly</v>
          </cell>
        </row>
        <row r="3">
          <cell r="B3" t="str">
            <v>LCTL Churn Dashboard Summary- Weekly (DWPRD Segment B)</v>
          </cell>
          <cell r="C3" t="str">
            <v>Weekly</v>
          </cell>
        </row>
        <row r="4">
          <cell r="B4" t="str">
            <v>Promo Churn Report LQ - Weekly (BUS SOL)</v>
          </cell>
          <cell r="C4" t="str">
            <v>Weekly</v>
          </cell>
        </row>
        <row r="5">
          <cell r="B5" t="str">
            <v>Promo Churn Report LCTL - Weekly (DWPRD Segment B)</v>
          </cell>
          <cell r="C5" t="str">
            <v>Weekly</v>
          </cell>
        </row>
        <row r="6">
          <cell r="B6" t="str">
            <v>ETF analysis HSI and CC</v>
          </cell>
          <cell r="C6" t="str">
            <v>Monthly</v>
          </cell>
        </row>
        <row r="7">
          <cell r="B7" t="str">
            <v>SB Daily, Weekly, Monthly Dashboard</v>
          </cell>
          <cell r="C7" t="str">
            <v>Daily</v>
          </cell>
        </row>
        <row r="8">
          <cell r="B8" t="str">
            <v>Life Time Value Project - Inputs</v>
          </cell>
          <cell r="C8" t="str">
            <v>Monthly</v>
          </cell>
        </row>
        <row r="9">
          <cell r="B9" t="str">
            <v>SMB Leading Sales Indicator</v>
          </cell>
          <cell r="C9" t="str">
            <v>Monthly</v>
          </cell>
        </row>
        <row r="10">
          <cell r="B10" t="str">
            <v>Pending Prism Funnel Report</v>
          </cell>
          <cell r="C10" t="str">
            <v>Daily</v>
          </cell>
        </row>
        <row r="11">
          <cell r="B11" t="str">
            <v>Promo  LQ and LCTL Discretionary Reports</v>
          </cell>
          <cell r="C11" t="str">
            <v>Weekly</v>
          </cell>
        </row>
        <row r="12">
          <cell r="B12" t="str">
            <v>HSI CHURN - TST IMPACTS</v>
          </cell>
          <cell r="C12" t="str">
            <v>One time</v>
          </cell>
        </row>
        <row r="13">
          <cell r="B13" t="str">
            <v>IMMX Sale Dashboard- Phase 2</v>
          </cell>
          <cell r="C13" t="str">
            <v>Daily</v>
          </cell>
        </row>
        <row r="14">
          <cell r="B14" t="str">
            <v>Prism Dashboard</v>
          </cell>
          <cell r="C14" t="str">
            <v>Monthly</v>
          </cell>
        </row>
        <row r="15">
          <cell r="B15" t="str">
            <v>Small Business Integrated Churn Scorecard-Daily</v>
          </cell>
          <cell r="C15" t="str">
            <v>Weekly</v>
          </cell>
        </row>
        <row r="16">
          <cell r="B16" t="str">
            <v xml:space="preserve">SB Retention on Report cleanup and optimization request </v>
          </cell>
          <cell r="C16" t="str">
            <v>Daily</v>
          </cell>
        </row>
        <row r="17">
          <cell r="B17" t="str">
            <v>Phase 2: CC2 Data request</v>
          </cell>
          <cell r="C17" t="str">
            <v>Monthly</v>
          </cell>
        </row>
        <row r="18">
          <cell r="B18" t="str">
            <v>2014 Small Bus Call Center - Main Focus Areas Request</v>
          </cell>
          <cell r="C18" t="str">
            <v>Weekly</v>
          </cell>
        </row>
        <row r="19">
          <cell r="B19" t="str">
            <v>Vendor Partner Compensation Dashboard</v>
          </cell>
          <cell r="C19" t="str">
            <v>Monthly</v>
          </cell>
        </row>
        <row r="20">
          <cell r="B20" t="str">
            <v>SOHO RR Dashboard</v>
          </cell>
          <cell r="C20" t="str">
            <v>Weekly</v>
          </cell>
        </row>
        <row r="21">
          <cell r="B21" t="str">
            <v>To extract churn data at BTN level for HSI and B1 products for both LQ and LCTL</v>
          </cell>
          <cell r="C21" t="str">
            <v>Weekly</v>
          </cell>
        </row>
        <row r="22">
          <cell r="B22" t="str">
            <v>Educational Institutes potential</v>
          </cell>
          <cell r="C22" t="str">
            <v>One time</v>
          </cell>
        </row>
        <row r="23">
          <cell r="B23" t="str">
            <v xml:space="preserve">Propensity to Churn trial </v>
          </cell>
          <cell r="C23" t="str">
            <v>Other</v>
          </cell>
        </row>
        <row r="24">
          <cell r="B24" t="str">
            <v>Drop Schedule</v>
          </cell>
          <cell r="C24" t="str">
            <v>Daily</v>
          </cell>
        </row>
        <row r="25">
          <cell r="B25" t="str">
            <v>SMB Product Overview KPIs</v>
          </cell>
          <cell r="C25" t="str">
            <v>Monthly</v>
          </cell>
        </row>
        <row r="26">
          <cell r="B26" t="str">
            <v>Smart Home</v>
          </cell>
          <cell r="C26" t="str">
            <v>Other</v>
          </cell>
        </row>
        <row r="27">
          <cell r="B27" t="str">
            <v>B360 reconciliation</v>
          </cell>
          <cell r="C27" t="str">
            <v>One time</v>
          </cell>
        </row>
        <row r="28">
          <cell r="B28" t="str">
            <v>Monthly Metrics    (From SFDC)</v>
          </cell>
          <cell r="C28" t="str">
            <v>Monthly</v>
          </cell>
        </row>
        <row r="29">
          <cell r="B29" t="str">
            <v>Product Installation &amp; Equipment Report</v>
          </cell>
          <cell r="C29" t="str">
            <v>Monthly</v>
          </cell>
        </row>
        <row r="30">
          <cell r="B30" t="str">
            <v>Funnel forecasting</v>
          </cell>
          <cell r="C30" t="str">
            <v>Monthly</v>
          </cell>
        </row>
        <row r="31">
          <cell r="B31" t="str">
            <v>PMC reports</v>
          </cell>
          <cell r="C31" t="str">
            <v>Monthly</v>
          </cell>
        </row>
        <row r="32">
          <cell r="B32" t="str">
            <v>Sequential Billing Activity</v>
          </cell>
          <cell r="C32" t="str">
            <v>Monthly</v>
          </cell>
        </row>
        <row r="33">
          <cell r="B33" t="str">
            <v>MOM Customer Detail: Growers and Shrinkers</v>
          </cell>
          <cell r="C33" t="str">
            <v>Monthly</v>
          </cell>
        </row>
        <row r="34">
          <cell r="B34" t="str">
            <v>Funnel Forecasting Phase II</v>
          </cell>
          <cell r="C34" t="str">
            <v>Other</v>
          </cell>
        </row>
        <row r="35">
          <cell r="B35" t="str">
            <v>HSI Churn Propensity</v>
          </cell>
          <cell r="C35" t="str">
            <v>One time</v>
          </cell>
        </row>
        <row r="36">
          <cell r="B36" t="str">
            <v>PMC Phase-2</v>
          </cell>
          <cell r="C36" t="str">
            <v>One time</v>
          </cell>
        </row>
        <row r="37">
          <cell r="B37" t="str">
            <v>LCTL BTN churn summary report -Enhancement</v>
          </cell>
          <cell r="C37" t="str">
            <v>Weekly</v>
          </cell>
        </row>
        <row r="38">
          <cell r="B38" t="str">
            <v>LQ Call Data</v>
          </cell>
          <cell r="C38" t="str">
            <v>Weekly</v>
          </cell>
        </row>
        <row r="39">
          <cell r="B39" t="str">
            <v>Promo Usage Tool</v>
          </cell>
          <cell r="C39" t="str">
            <v>Weekly</v>
          </cell>
        </row>
        <row r="40">
          <cell r="B40" t="str">
            <v>Sub Group Summary - Vendor Commission Dashboard</v>
          </cell>
          <cell r="C40" t="str">
            <v>Monthly</v>
          </cell>
        </row>
        <row r="41">
          <cell r="B41" t="str">
            <v>RR Modelling</v>
          </cell>
          <cell r="C41" t="str">
            <v>Other</v>
          </cell>
        </row>
        <row r="42">
          <cell r="B42" t="str">
            <v>SMB Product Overview KPIs</v>
          </cell>
          <cell r="C42" t="str">
            <v>Monthly</v>
          </cell>
        </row>
        <row r="43">
          <cell r="B43" t="str">
            <v>Sequential Billing Activity - Disconnect Analysis</v>
          </cell>
          <cell r="C43" t="str">
            <v>Monthly</v>
          </cell>
        </row>
        <row r="44">
          <cell r="B44" t="str">
            <v>Services for SMB</v>
          </cell>
          <cell r="C44" t="str">
            <v>Other</v>
          </cell>
        </row>
        <row r="45">
          <cell r="B45" t="str">
            <v>Phase 2: Daily Weekly Monthly Dashboard</v>
          </cell>
          <cell r="C45" t="str">
            <v>Other</v>
          </cell>
        </row>
        <row r="46">
          <cell r="B46" t="str">
            <v>IMMX and Clearlink Sales Dashboard</v>
          </cell>
          <cell r="C46" t="str">
            <v>Weekly</v>
          </cell>
        </row>
        <row r="47">
          <cell r="B47" t="str">
            <v>Response Rate Modeling</v>
          </cell>
          <cell r="C47" t="str">
            <v>Other</v>
          </cell>
        </row>
        <row r="48">
          <cell r="B48" t="str">
            <v>Promo Efficiency Analysis</v>
          </cell>
          <cell r="C48" t="str">
            <v>Other</v>
          </cell>
        </row>
        <row r="49">
          <cell r="B49" t="str">
            <v>LQ Call Volume Maintenance</v>
          </cell>
          <cell r="C49" t="str">
            <v>Other</v>
          </cell>
        </row>
        <row r="50">
          <cell r="B50" t="str">
            <v>Prism PPV VOD Data</v>
          </cell>
          <cell r="C50" t="str">
            <v>Monthly</v>
          </cell>
        </row>
        <row r="51">
          <cell r="B51" t="str">
            <v>Agent Promo Usage Tool</v>
          </cell>
          <cell r="C51" t="str">
            <v>Daily</v>
          </cell>
        </row>
        <row r="52">
          <cell r="B52" t="str">
            <v>Customer Segmentation for PPV/VOD Propensity</v>
          </cell>
          <cell r="C52" t="str">
            <v>Other</v>
          </cell>
        </row>
        <row r="53">
          <cell r="B53" t="str">
            <v>LTV for PRISM</v>
          </cell>
          <cell r="C53" t="str">
            <v>Other</v>
          </cell>
        </row>
        <row r="54">
          <cell r="B54" t="str">
            <v>Profiling PRISM Customer</v>
          </cell>
          <cell r="C54" t="str">
            <v>Other</v>
          </cell>
        </row>
        <row r="55">
          <cell r="B55" t="str">
            <v>Business Workfile</v>
          </cell>
          <cell r="C55" t="str">
            <v>Daily</v>
          </cell>
        </row>
        <row r="56">
          <cell r="B56" t="str">
            <v>close rate dashboard</v>
          </cell>
          <cell r="C56" t="str">
            <v>Fortnightly</v>
          </cell>
        </row>
        <row r="57">
          <cell r="B57" t="str">
            <v>Campign Mangement Tool</v>
          </cell>
          <cell r="C57" t="str">
            <v>Other</v>
          </cell>
        </row>
        <row r="58">
          <cell r="B58" t="str">
            <v>Phase 2: CC dashboard:CRIS Side implementation</v>
          </cell>
          <cell r="C58" t="str">
            <v>Weekly</v>
          </cell>
        </row>
        <row r="59">
          <cell r="B59" t="str">
            <v>Promo Roll Off</v>
          </cell>
          <cell r="C59" t="str">
            <v>Monthly</v>
          </cell>
        </row>
        <row r="60">
          <cell r="B60" t="str">
            <v>Process Measurements</v>
          </cell>
          <cell r="C60" t="str">
            <v>Other</v>
          </cell>
        </row>
        <row r="61">
          <cell r="B61" t="str">
            <v>Pending Order Analysis</v>
          </cell>
          <cell r="C61" t="str">
            <v>Monthly</v>
          </cell>
        </row>
        <row r="62">
          <cell r="B62" t="str">
            <v>EPGIC</v>
          </cell>
          <cell r="C62" t="str">
            <v>Other</v>
          </cell>
        </row>
        <row r="63">
          <cell r="B63" t="str">
            <v>Vendor Performance Analysis</v>
          </cell>
          <cell r="C63" t="str">
            <v>Other</v>
          </cell>
        </row>
        <row r="64">
          <cell r="B64" t="str">
            <v>New KPI Design</v>
          </cell>
          <cell r="C64" t="str">
            <v>Other</v>
          </cell>
        </row>
        <row r="65">
          <cell r="B65" t="str">
            <v>HSI CUSTOMER SEGMENTATION</v>
          </cell>
          <cell r="C65" t="str">
            <v>Other</v>
          </cell>
        </row>
        <row r="66">
          <cell r="B66" t="str">
            <v>Retention and Active HSI Dashboard</v>
          </cell>
          <cell r="C66" t="str">
            <v>Other</v>
          </cell>
        </row>
        <row r="67">
          <cell r="B67" t="str">
            <v>Agent Promo Usage Tool - Phase-3</v>
          </cell>
          <cell r="C67" t="str">
            <v>Other</v>
          </cell>
        </row>
        <row r="68">
          <cell r="B68" t="str">
            <v>DM Matrix Automation</v>
          </cell>
          <cell r="C68" t="str">
            <v>Other</v>
          </cell>
        </row>
        <row r="69">
          <cell r="B69" t="str">
            <v>Managed Office</v>
          </cell>
          <cell r="C69" t="str">
            <v>Other</v>
          </cell>
        </row>
        <row r="70">
          <cell r="B70" t="str">
            <v>Consolidated Churn Dashboard</v>
          </cell>
          <cell r="C70" t="str">
            <v>weekly</v>
          </cell>
        </row>
        <row r="71">
          <cell r="B71" t="str">
            <v>Porting Report</v>
          </cell>
          <cell r="C71" t="str">
            <v>Monthly</v>
          </cell>
        </row>
        <row r="72">
          <cell r="B72" t="str">
            <v>Retention and Active HSI Dashboard</v>
          </cell>
          <cell r="C72" t="str">
            <v>Fortnightly</v>
          </cell>
        </row>
        <row r="73">
          <cell r="B73" t="str">
            <v>ENS Vacation Incentive Report</v>
          </cell>
          <cell r="C73" t="str">
            <v>Weekly</v>
          </cell>
        </row>
        <row r="74">
          <cell r="B74" t="str">
            <v>HR analytics</v>
          </cell>
          <cell r="C74" t="str">
            <v>Other</v>
          </cell>
        </row>
        <row r="75">
          <cell r="B75" t="str">
            <v>QC-Business workfile</v>
          </cell>
          <cell r="C75" t="str">
            <v>Weekly</v>
          </cell>
        </row>
        <row r="76">
          <cell r="B76" t="str">
            <v>Growers and Shrinkers</v>
          </cell>
          <cell r="C76" t="str">
            <v>Other</v>
          </cell>
        </row>
        <row r="77">
          <cell r="B77" t="str">
            <v>Retention package automation</v>
          </cell>
          <cell r="C77" t="str">
            <v>Other</v>
          </cell>
        </row>
        <row r="78">
          <cell r="B78" t="str">
            <v>Digital Berry call lists</v>
          </cell>
          <cell r="C78" t="str">
            <v>Monthly</v>
          </cell>
        </row>
      </sheetData>
      <sheetData sheetId="9"/>
      <sheetData sheetId="10"/>
      <sheetData sheetId="11" refreshError="1"/>
    </sheetDataSet>
  </externalBook>
</externalLink>
</file>

<file path=xl/revisions/_rels/revisionHeaders.xml.rels><?xml version="1.0" encoding="UTF-8" standalone="yes"?>
<Relationships xmlns="http://schemas.openxmlformats.org/package/2006/relationships"><Relationship Id="rId546" Type="http://schemas.openxmlformats.org/officeDocument/2006/relationships/revisionLog" Target="revisionLog2.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FAF17821-E6C7-4208-98B9-513DD14E3750}" diskRevisions="1" revisionId="19961">
  <header guid="{FAF17821-E6C7-4208-98B9-513DD14E3750}" dateTime="2016-06-22T17:52:14" maxSheetId="15" userName="Srivastava Mayuri" r:id="rId546" minRId="19953">
    <sheetIdMap count="14">
      <sheetId val="1"/>
      <sheetId val="3"/>
      <sheetId val="5"/>
      <sheetId val="4"/>
      <sheetId val="6"/>
      <sheetId val="7"/>
      <sheetId val="2"/>
      <sheetId val="8"/>
      <sheetId val="9"/>
      <sheetId val="10"/>
      <sheetId val="11"/>
      <sheetId val="12"/>
      <sheetId val="13"/>
      <sheetId val="14"/>
    </sheetIdMap>
  </header>
</header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53" sId="5">
    <nc r="A15" t="inlineStr">
      <is>
        <t>git hub testing</t>
      </is>
    </nc>
  </rcc>
  <rdn rId="0" localSheetId="5" customView="1" name="Z_0459E885_E56D_4233_A463_CDACB82F3A71_.wvu.FilterData" hidden="1" oldHidden="1">
    <formula>Mohit!$A$1:$H$736</formula>
  </rdn>
  <rdn rId="0" localSheetId="6" customView="1" name="Z_0459E885_E56D_4233_A463_CDACB82F3A71_.wvu.Rows" hidden="1" oldHidden="1">
    <formula>Saanchi!$2:$2</formula>
  </rdn>
  <rdn rId="0" localSheetId="6" customView="1" name="Z_0459E885_E56D_4233_A463_CDACB82F3A71_.wvu.FilterData" hidden="1" oldHidden="1">
    <formula>Saanchi!$A$1:$H$746</formula>
  </rdn>
  <rdn rId="0" localSheetId="7" customView="1" name="Z_0459E885_E56D_4233_A463_CDACB82F3A71_.wvu.Rows" hidden="1" oldHidden="1">
    <formula>'Saurabh Arora'!$2:$2</formula>
  </rdn>
  <rdn rId="0" localSheetId="2" customView="1" name="Z_0459E885_E56D_4233_A463_CDACB82F3A71_.wvu.FilterData" hidden="1" oldHidden="1">
    <formula>Sangeetha!$A$1:$H$604</formula>
  </rdn>
  <rdn rId="0" localSheetId="8" customView="1" name="Z_0459E885_E56D_4233_A463_CDACB82F3A71_.wvu.Rows" hidden="1" oldHidden="1">
    <formula>'Gaurav Garg'!$2:$2</formula>
  </rdn>
  <rdn rId="0" localSheetId="9" customView="1" name="Z_0459E885_E56D_4233_A463_CDACB82F3A71_.wvu.FilterData" hidden="1" oldHidden="1">
    <formula>'Data sheet'!$A$1:$F$85</formula>
  </rdn>
  <rdn rId="0" localSheetId="10" customView="1" name="Z_0459E885_E56D_4233_A463_CDACB82F3A71_.wvu.FilterData" hidden="1" oldHidden="1">
    <formula>'Today''s Deliveries'!$A$1:$E$242</formula>
  </rdn>
  <rcv guid="{0459E885-E56D-4233-A463-CDACB82F3A71}"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microsoft.com/office/2006/relationships/wsSortMap" Target="wsSortMap1.xml"/><Relationship Id="rId4"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8" Type="http://schemas.microsoft.com/office/2006/relationships/wsSortMap" Target="wsSortMap2.xml"/><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5" Type="http://schemas.microsoft.com/office/2006/relationships/wsSortMap" Target="wsSortMap3.xml"/><Relationship Id="rId4" Type="http://schemas.openxmlformats.org/officeDocument/2006/relationships/printerSettings" Target="../printerSettings/printerSettings3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5" Type="http://schemas.openxmlformats.org/officeDocument/2006/relationships/printerSettings" Target="../printerSettings/printerSettings42.bin"/><Relationship Id="rId4" Type="http://schemas.openxmlformats.org/officeDocument/2006/relationships/printerSettings" Target="../printerSettings/printerSettings4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microsoft.com/office/2006/relationships/wsSortMap" Target="wsSortMap4.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0.bin"/><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3.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4" Type="http://schemas.openxmlformats.org/officeDocument/2006/relationships/printerSettings" Target="../printerSettings/printerSettings5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microsoft.com/office/2006/relationships/wsSortMap" Target="wsSortMap5.xml"/><Relationship Id="rId4"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740"/>
  <sheetViews>
    <sheetView workbookViewId="0">
      <selection activeCell="E29" sqref="E29"/>
    </sheetView>
  </sheetViews>
  <sheetFormatPr defaultRowHeight="15" x14ac:dyDescent="0.25"/>
  <cols>
    <col min="1" max="1" width="9.42578125" style="12" customWidth="1"/>
    <col min="2" max="2" width="13" style="12" customWidth="1"/>
    <col min="3" max="3" width="14.28515625" style="12" customWidth="1"/>
    <col min="4" max="4" width="19.42578125" style="12" customWidth="1"/>
    <col min="5" max="5" width="46.7109375" style="12" customWidth="1"/>
    <col min="6" max="6" width="15.5703125" style="12" customWidth="1"/>
    <col min="7" max="7" width="17.5703125" style="12" customWidth="1"/>
    <col min="8" max="8" width="23.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c r="C2" s="12" t="s">
        <v>8</v>
      </c>
      <c r="D2" s="12" t="s">
        <v>69</v>
      </c>
      <c r="E2" s="12" t="s">
        <v>39</v>
      </c>
      <c r="AA2" s="13"/>
      <c r="AB2" s="13"/>
      <c r="AC2" s="16"/>
      <c r="AD2" s="16"/>
      <c r="AE2" s="9"/>
    </row>
    <row r="3" spans="1:31" x14ac:dyDescent="0.25">
      <c r="A3" s="37"/>
      <c r="B3" s="23"/>
      <c r="C3" s="23"/>
      <c r="D3" s="23"/>
      <c r="E3" s="23"/>
      <c r="G3" s="23"/>
      <c r="AA3" s="13"/>
      <c r="AB3" s="13" t="s">
        <v>17</v>
      </c>
      <c r="AC3" s="16" t="s">
        <v>63</v>
      </c>
      <c r="AD3" s="16" t="s">
        <v>71</v>
      </c>
      <c r="AE3" s="9" t="s">
        <v>60</v>
      </c>
    </row>
    <row r="4" spans="1:31" x14ac:dyDescent="0.25">
      <c r="A4" s="37"/>
      <c r="B4" s="23"/>
      <c r="C4" s="23"/>
      <c r="D4" s="23"/>
      <c r="E4" s="23"/>
      <c r="G4" s="23"/>
      <c r="H4" s="23"/>
      <c r="AA4" s="13"/>
      <c r="AB4" s="13"/>
      <c r="AC4" s="16"/>
      <c r="AD4" s="16"/>
      <c r="AE4" s="9"/>
    </row>
    <row r="5" spans="1:31" x14ac:dyDescent="0.25">
      <c r="A5" s="37"/>
      <c r="B5" s="23"/>
      <c r="C5" s="23"/>
      <c r="D5" s="23"/>
      <c r="G5" s="23"/>
      <c r="H5" s="23"/>
      <c r="AA5" s="13"/>
      <c r="AB5" s="13"/>
      <c r="AC5" s="16"/>
      <c r="AD5" s="16"/>
      <c r="AE5" s="9"/>
    </row>
    <row r="6" spans="1:31" x14ac:dyDescent="0.25">
      <c r="A6" s="37"/>
      <c r="B6" s="23"/>
      <c r="C6" s="23"/>
      <c r="G6" s="23"/>
      <c r="H6" s="23"/>
      <c r="AA6" s="13"/>
      <c r="AB6" s="13"/>
      <c r="AC6" s="16"/>
      <c r="AD6" s="16"/>
      <c r="AE6" s="9"/>
    </row>
    <row r="7" spans="1:31" x14ac:dyDescent="0.25">
      <c r="A7" s="37"/>
      <c r="B7" s="23"/>
      <c r="C7" s="23"/>
      <c r="D7" s="8"/>
      <c r="E7" s="23"/>
      <c r="G7" s="23"/>
      <c r="H7" s="23"/>
      <c r="AA7" s="13"/>
      <c r="AB7" s="13" t="s">
        <v>18</v>
      </c>
      <c r="AC7" s="16" t="s">
        <v>63</v>
      </c>
      <c r="AD7" s="16" t="s">
        <v>72</v>
      </c>
      <c r="AE7" s="9" t="s">
        <v>61</v>
      </c>
    </row>
    <row r="8" spans="1:31" x14ac:dyDescent="0.25">
      <c r="A8" s="37"/>
      <c r="AA8" s="13"/>
      <c r="AB8" s="13" t="s">
        <v>15</v>
      </c>
      <c r="AC8" s="16" t="s">
        <v>63</v>
      </c>
      <c r="AD8" s="16" t="s">
        <v>69</v>
      </c>
      <c r="AE8" s="9" t="s">
        <v>58</v>
      </c>
    </row>
    <row r="9" spans="1:31" x14ac:dyDescent="0.25">
      <c r="A9" s="37"/>
      <c r="AA9" s="13"/>
      <c r="AB9" s="13" t="s">
        <v>16</v>
      </c>
      <c r="AC9" s="16" t="s">
        <v>63</v>
      </c>
      <c r="AD9" s="16" t="s">
        <v>70</v>
      </c>
      <c r="AE9" s="9" t="s">
        <v>59</v>
      </c>
    </row>
    <row r="10" spans="1:31" x14ac:dyDescent="0.25">
      <c r="A10" s="37"/>
      <c r="B10" s="23"/>
      <c r="C10" s="23"/>
      <c r="D10" s="23"/>
      <c r="E10" s="23"/>
      <c r="G10" s="23"/>
      <c r="H10" s="23"/>
      <c r="AA10" s="13"/>
      <c r="AB10" s="13"/>
      <c r="AC10" s="16"/>
      <c r="AD10" s="16"/>
      <c r="AE10" s="9"/>
    </row>
    <row r="11" spans="1:31" x14ac:dyDescent="0.25">
      <c r="A11" s="37"/>
      <c r="B11" s="23"/>
      <c r="C11" s="23"/>
      <c r="D11" s="23"/>
      <c r="E11" s="23"/>
      <c r="G11" s="23"/>
      <c r="H11" s="23"/>
      <c r="I11" s="82"/>
      <c r="J11" s="82"/>
      <c r="AA11" s="13"/>
      <c r="AB11" s="13" t="s">
        <v>19</v>
      </c>
      <c r="AC11" s="16" t="s">
        <v>64</v>
      </c>
      <c r="AD11" s="16" t="s">
        <v>73</v>
      </c>
      <c r="AE11" s="9" t="s">
        <v>11</v>
      </c>
    </row>
    <row r="12" spans="1:31" x14ac:dyDescent="0.25">
      <c r="A12" s="37"/>
      <c r="B12" s="23"/>
      <c r="C12" s="23"/>
      <c r="D12" s="23"/>
      <c r="G12" s="23"/>
      <c r="H12" s="23"/>
      <c r="I12" s="82"/>
      <c r="J12" s="82"/>
      <c r="AA12" s="13"/>
      <c r="AB12" s="13" t="s">
        <v>20</v>
      </c>
      <c r="AC12" s="16" t="s">
        <v>65</v>
      </c>
      <c r="AD12" s="16" t="s">
        <v>74</v>
      </c>
      <c r="AE12" s="9" t="s">
        <v>62</v>
      </c>
    </row>
    <row r="13" spans="1:31" x14ac:dyDescent="0.25">
      <c r="A13" s="37"/>
      <c r="B13" s="23"/>
      <c r="C13" s="23"/>
      <c r="D13" s="23"/>
      <c r="G13" s="23"/>
      <c r="H13" s="23"/>
      <c r="AB13" s="47" t="s">
        <v>49</v>
      </c>
      <c r="AC13" s="13" t="s">
        <v>67</v>
      </c>
      <c r="AD13" s="8"/>
    </row>
    <row r="14" spans="1:31" x14ac:dyDescent="0.25">
      <c r="A14" s="37"/>
      <c r="B14" s="23"/>
      <c r="C14" s="23"/>
      <c r="D14" s="23"/>
      <c r="E14" s="23"/>
      <c r="G14" s="23"/>
      <c r="H14" s="23"/>
      <c r="AB14" s="13" t="s">
        <v>22</v>
      </c>
      <c r="AC14" s="16" t="s">
        <v>64</v>
      </c>
      <c r="AD14" s="16" t="s">
        <v>76</v>
      </c>
    </row>
    <row r="15" spans="1:31" x14ac:dyDescent="0.25">
      <c r="A15" s="37"/>
      <c r="B15" s="23"/>
      <c r="C15" s="23"/>
      <c r="G15" s="23"/>
      <c r="H15" s="23"/>
      <c r="AB15" s="13" t="s">
        <v>23</v>
      </c>
      <c r="AC15" s="16" t="s">
        <v>65</v>
      </c>
      <c r="AD15" s="16" t="s">
        <v>77</v>
      </c>
    </row>
    <row r="16" spans="1:31" x14ac:dyDescent="0.25">
      <c r="A16" s="37"/>
      <c r="B16" s="23"/>
      <c r="C16" s="23"/>
      <c r="D16" s="23"/>
      <c r="E16" s="23"/>
      <c r="G16" s="23"/>
      <c r="AB16" s="13"/>
      <c r="AC16" s="13"/>
      <c r="AD16" s="8"/>
    </row>
    <row r="17" spans="1:30" x14ac:dyDescent="0.25">
      <c r="A17" s="37"/>
      <c r="B17" s="23"/>
      <c r="C17" s="23"/>
      <c r="D17" s="23"/>
      <c r="G17" s="23"/>
      <c r="AB17" s="13" t="s">
        <v>27</v>
      </c>
      <c r="AC17" s="13" t="s">
        <v>64</v>
      </c>
      <c r="AD17" s="8"/>
    </row>
    <row r="18" spans="1:30" x14ac:dyDescent="0.25">
      <c r="A18" s="37"/>
      <c r="B18" s="23"/>
      <c r="C18" s="23"/>
      <c r="D18" s="23"/>
      <c r="E18" s="23"/>
      <c r="G18" s="23"/>
      <c r="AB18" s="13" t="s">
        <v>28</v>
      </c>
      <c r="AC18" s="13" t="s">
        <v>63</v>
      </c>
      <c r="AD18" s="8"/>
    </row>
    <row r="19" spans="1:30" x14ac:dyDescent="0.25">
      <c r="A19" s="37"/>
      <c r="B19" s="23"/>
      <c r="C19" s="23"/>
      <c r="G19" s="23"/>
      <c r="AB19" s="13"/>
      <c r="AC19" s="13"/>
      <c r="AD19" s="8"/>
    </row>
    <row r="20" spans="1:30" x14ac:dyDescent="0.25">
      <c r="A20" s="37"/>
      <c r="B20" s="23"/>
      <c r="C20" s="23"/>
      <c r="G20" s="23"/>
      <c r="AB20" s="13" t="s">
        <v>29</v>
      </c>
      <c r="AC20" s="13" t="s">
        <v>65</v>
      </c>
      <c r="AD20" s="8"/>
    </row>
    <row r="21" spans="1:30" x14ac:dyDescent="0.25">
      <c r="A21" s="37"/>
      <c r="B21" s="23"/>
      <c r="C21" s="23"/>
      <c r="G21" s="23"/>
      <c r="AB21" s="13" t="s">
        <v>30</v>
      </c>
      <c r="AC21" s="13" t="s">
        <v>64</v>
      </c>
      <c r="AD21" s="8"/>
    </row>
    <row r="22" spans="1:30" x14ac:dyDescent="0.25">
      <c r="A22" s="37"/>
      <c r="B22" s="23"/>
      <c r="C22" s="23"/>
      <c r="G22" s="23"/>
      <c r="AB22" s="13"/>
      <c r="AC22" s="13"/>
      <c r="AD22" s="8"/>
    </row>
    <row r="23" spans="1:30" x14ac:dyDescent="0.25">
      <c r="A23" s="37"/>
      <c r="B23" s="23"/>
      <c r="C23" s="23"/>
      <c r="G23" s="23"/>
      <c r="AB23" s="13"/>
      <c r="AC23" s="13"/>
      <c r="AD23" s="8"/>
    </row>
    <row r="24" spans="1:30" x14ac:dyDescent="0.25">
      <c r="A24" s="37"/>
      <c r="B24" s="23"/>
      <c r="C24" s="23"/>
      <c r="G24" s="23"/>
      <c r="AB24" s="13"/>
      <c r="AC24" s="13"/>
      <c r="AD24" s="8"/>
    </row>
    <row r="25" spans="1:30" x14ac:dyDescent="0.25">
      <c r="A25" s="37"/>
      <c r="B25" s="23"/>
      <c r="C25" s="23"/>
      <c r="G25" s="23"/>
      <c r="AB25" s="13"/>
      <c r="AC25" s="13"/>
      <c r="AD25" s="8"/>
    </row>
    <row r="26" spans="1:30" x14ac:dyDescent="0.25">
      <c r="A26" s="37"/>
      <c r="B26" s="23"/>
      <c r="C26" s="23"/>
      <c r="G26" s="23"/>
      <c r="AB26" s="13"/>
      <c r="AC26" s="13"/>
      <c r="AD26" s="8"/>
    </row>
    <row r="27" spans="1:30" x14ac:dyDescent="0.25">
      <c r="A27" s="37"/>
      <c r="B27" s="23"/>
      <c r="C27" s="23"/>
      <c r="G27" s="23"/>
      <c r="AB27" s="13"/>
      <c r="AC27" s="13"/>
      <c r="AD27" s="8"/>
    </row>
    <row r="28" spans="1:30" x14ac:dyDescent="0.25">
      <c r="A28" s="37"/>
      <c r="B28" s="23"/>
      <c r="C28" s="23"/>
      <c r="G28" s="23"/>
      <c r="AB28" s="13" t="s">
        <v>31</v>
      </c>
      <c r="AC28" s="13" t="s">
        <v>63</v>
      </c>
      <c r="AD28" s="8"/>
    </row>
    <row r="29" spans="1:30" x14ac:dyDescent="0.25">
      <c r="A29" s="37"/>
      <c r="B29" s="23"/>
      <c r="C29" s="23"/>
      <c r="D29" s="23"/>
      <c r="E29" s="23"/>
      <c r="G29" s="23"/>
      <c r="AB29" s="13" t="s">
        <v>32</v>
      </c>
      <c r="AC29" s="13" t="s">
        <v>64</v>
      </c>
      <c r="AD29" s="8"/>
    </row>
    <row r="30" spans="1:30" x14ac:dyDescent="0.25">
      <c r="A30" s="37"/>
      <c r="B30" s="23"/>
      <c r="C30" s="23"/>
      <c r="D30" s="23"/>
      <c r="E30" s="23"/>
      <c r="G30" s="23"/>
      <c r="AB30" s="13" t="s">
        <v>33</v>
      </c>
      <c r="AC30" s="13" t="s">
        <v>63</v>
      </c>
      <c r="AD30" s="8"/>
    </row>
    <row r="31" spans="1:30" x14ac:dyDescent="0.25">
      <c r="A31" s="37"/>
      <c r="B31" s="23"/>
      <c r="C31" s="23"/>
      <c r="D31" s="23"/>
      <c r="G31" s="23"/>
      <c r="AB31" s="13" t="s">
        <v>34</v>
      </c>
      <c r="AC31" s="13" t="s">
        <v>63</v>
      </c>
      <c r="AD31" s="8"/>
    </row>
    <row r="32" spans="1:30" x14ac:dyDescent="0.25">
      <c r="A32" s="37"/>
      <c r="B32" s="23"/>
      <c r="C32" s="23"/>
      <c r="G32" s="23"/>
      <c r="AB32" s="13" t="s">
        <v>35</v>
      </c>
      <c r="AC32" s="13" t="s">
        <v>65</v>
      </c>
      <c r="AD32" s="8"/>
    </row>
    <row r="33" spans="1:30" x14ac:dyDescent="0.25">
      <c r="A33" s="37"/>
      <c r="B33" s="23"/>
      <c r="F33" s="8"/>
      <c r="G33" s="23"/>
      <c r="AB33" s="13" t="s">
        <v>36</v>
      </c>
      <c r="AC33" s="13" t="s">
        <v>64</v>
      </c>
      <c r="AD33" s="8"/>
    </row>
    <row r="34" spans="1:30" x14ac:dyDescent="0.25">
      <c r="A34" s="37"/>
      <c r="B34" s="23"/>
      <c r="G34" s="23"/>
      <c r="AB34" s="13" t="s">
        <v>37</v>
      </c>
      <c r="AC34" s="13" t="s">
        <v>66</v>
      </c>
      <c r="AD34" s="8"/>
    </row>
    <row r="35" spans="1:30" x14ac:dyDescent="0.25">
      <c r="A35" s="37"/>
      <c r="B35" s="23"/>
      <c r="E35" s="23"/>
      <c r="F35" s="8"/>
      <c r="G35" s="23"/>
      <c r="AB35" s="13" t="s">
        <v>38</v>
      </c>
      <c r="AC35" s="13" t="s">
        <v>67</v>
      </c>
      <c r="AD35" s="8"/>
    </row>
    <row r="36" spans="1:30" x14ac:dyDescent="0.25">
      <c r="A36" s="37"/>
      <c r="B36" s="23"/>
      <c r="G36" s="23"/>
      <c r="AB36" s="13" t="s">
        <v>39</v>
      </c>
      <c r="AC36" s="13" t="s">
        <v>63</v>
      </c>
      <c r="AD36" s="8"/>
    </row>
    <row r="37" spans="1:30" x14ac:dyDescent="0.25">
      <c r="A37" s="37"/>
      <c r="B37" s="23"/>
      <c r="E37" s="23"/>
      <c r="G37" s="23"/>
      <c r="AB37" s="13" t="s">
        <v>40</v>
      </c>
      <c r="AC37" s="13" t="s">
        <v>64</v>
      </c>
      <c r="AD37" s="8"/>
    </row>
    <row r="38" spans="1:30" x14ac:dyDescent="0.25">
      <c r="A38" s="37"/>
      <c r="B38" s="23"/>
      <c r="G38" s="23"/>
      <c r="AB38" s="13"/>
      <c r="AC38" s="13"/>
      <c r="AD38" s="8"/>
    </row>
    <row r="39" spans="1:30" x14ac:dyDescent="0.25">
      <c r="A39" s="44"/>
      <c r="B39" s="23"/>
      <c r="E39" s="23"/>
      <c r="G39" s="23"/>
      <c r="AB39" s="13" t="s">
        <v>41</v>
      </c>
      <c r="AC39" s="13" t="s">
        <v>67</v>
      </c>
      <c r="AD39" s="8"/>
    </row>
    <row r="40" spans="1:30" x14ac:dyDescent="0.25">
      <c r="A40" s="44"/>
      <c r="B40" s="23"/>
      <c r="G40" s="23"/>
      <c r="AB40" s="13" t="s">
        <v>42</v>
      </c>
      <c r="AC40" s="13" t="s">
        <v>66</v>
      </c>
      <c r="AD40" s="8"/>
    </row>
    <row r="41" spans="1:30" x14ac:dyDescent="0.25">
      <c r="A41" s="44"/>
      <c r="B41" s="23"/>
      <c r="E41" s="23"/>
      <c r="G41" s="23"/>
      <c r="AB41" s="14" t="s">
        <v>43</v>
      </c>
      <c r="AC41" s="13" t="s">
        <v>64</v>
      </c>
      <c r="AD41" s="8"/>
    </row>
    <row r="42" spans="1:30" x14ac:dyDescent="0.25">
      <c r="A42" s="44"/>
      <c r="B42" s="23"/>
      <c r="G42" s="23"/>
      <c r="AB42" s="15" t="s">
        <v>44</v>
      </c>
      <c r="AC42" s="13" t="s">
        <v>64</v>
      </c>
      <c r="AD42" s="8"/>
    </row>
    <row r="43" spans="1:30" x14ac:dyDescent="0.25">
      <c r="A43" s="44"/>
      <c r="B43" s="23"/>
      <c r="C43" s="23"/>
      <c r="D43" s="23"/>
      <c r="E43" s="23"/>
      <c r="G43" s="23"/>
      <c r="AB43" s="15"/>
      <c r="AC43" s="13"/>
      <c r="AD43" s="8"/>
    </row>
    <row r="44" spans="1:30" x14ac:dyDescent="0.25">
      <c r="A44" s="44"/>
      <c r="B44" s="23"/>
      <c r="C44" s="23"/>
      <c r="D44" s="23"/>
      <c r="E44" s="23"/>
      <c r="G44" s="23"/>
      <c r="AB44" s="15"/>
      <c r="AC44" s="13"/>
      <c r="AD44" s="8"/>
    </row>
    <row r="45" spans="1:30" x14ac:dyDescent="0.25">
      <c r="A45" s="44"/>
      <c r="B45" s="23"/>
      <c r="E45" s="23"/>
      <c r="G45" s="23"/>
      <c r="AB45" s="14" t="s">
        <v>45</v>
      </c>
      <c r="AC45" s="13" t="s">
        <v>64</v>
      </c>
      <c r="AD45" s="8"/>
    </row>
    <row r="46" spans="1:30" x14ac:dyDescent="0.25">
      <c r="A46" s="44"/>
      <c r="B46" s="23"/>
      <c r="G46" s="23"/>
      <c r="AB46" s="15" t="s">
        <v>46</v>
      </c>
      <c r="AC46" s="13" t="s">
        <v>64</v>
      </c>
      <c r="AD46" s="8"/>
    </row>
    <row r="47" spans="1:30" x14ac:dyDescent="0.25">
      <c r="A47" s="44"/>
      <c r="B47" s="23"/>
      <c r="E47" s="23"/>
      <c r="G47" s="23"/>
      <c r="AB47" s="15"/>
      <c r="AC47" s="13"/>
      <c r="AD47" s="8"/>
    </row>
    <row r="48" spans="1:30" x14ac:dyDescent="0.25">
      <c r="A48" s="44"/>
      <c r="B48" s="23"/>
      <c r="E48" s="23"/>
      <c r="G48" s="23"/>
      <c r="AB48" s="14" t="s">
        <v>47</v>
      </c>
      <c r="AC48" s="13" t="s">
        <v>64</v>
      </c>
      <c r="AD48" s="8"/>
    </row>
    <row r="49" spans="1:30" x14ac:dyDescent="0.25">
      <c r="A49" s="44"/>
      <c r="B49" s="23"/>
      <c r="G49" s="23"/>
      <c r="AB49" s="15" t="s">
        <v>48</v>
      </c>
      <c r="AC49" s="13" t="s">
        <v>64</v>
      </c>
      <c r="AD49" s="8"/>
    </row>
    <row r="50" spans="1:30" x14ac:dyDescent="0.25">
      <c r="A50" s="44"/>
      <c r="B50" s="23"/>
      <c r="G50" s="23"/>
      <c r="AB50" s="14" t="s">
        <v>49</v>
      </c>
      <c r="AC50" s="13" t="s">
        <v>67</v>
      </c>
      <c r="AD50" s="8"/>
    </row>
    <row r="51" spans="1:30" x14ac:dyDescent="0.25">
      <c r="A51" s="44"/>
      <c r="B51" s="23"/>
      <c r="E51" s="23"/>
      <c r="G51" s="23"/>
      <c r="AB51" s="15" t="s">
        <v>50</v>
      </c>
      <c r="AC51" s="13" t="s">
        <v>66</v>
      </c>
      <c r="AD51" s="8"/>
    </row>
    <row r="52" spans="1:30" x14ac:dyDescent="0.25">
      <c r="A52" s="44"/>
      <c r="B52" s="23"/>
      <c r="E52" s="23"/>
      <c r="G52" s="23"/>
      <c r="AB52" s="14" t="s">
        <v>51</v>
      </c>
      <c r="AC52" s="13" t="s">
        <v>66</v>
      </c>
      <c r="AD52" s="8"/>
    </row>
    <row r="53" spans="1:30" x14ac:dyDescent="0.25">
      <c r="A53" s="44"/>
      <c r="B53" s="23"/>
      <c r="G53" s="23"/>
      <c r="AB53" s="1" t="s">
        <v>52</v>
      </c>
      <c r="AC53" s="13" t="s">
        <v>63</v>
      </c>
      <c r="AD53" s="8"/>
    </row>
    <row r="54" spans="1:30" x14ac:dyDescent="0.25">
      <c r="A54" s="44"/>
      <c r="B54" s="23"/>
      <c r="G54" s="23"/>
      <c r="AB54" s="6" t="s">
        <v>53</v>
      </c>
      <c r="AC54" s="13" t="s">
        <v>63</v>
      </c>
      <c r="AD54" s="8"/>
    </row>
    <row r="55" spans="1:30" x14ac:dyDescent="0.25">
      <c r="A55" s="44"/>
      <c r="B55" s="23"/>
      <c r="G55" s="23"/>
      <c r="AB55" s="6" t="s">
        <v>54</v>
      </c>
      <c r="AC55" s="13" t="s">
        <v>65</v>
      </c>
      <c r="AD55" s="8"/>
    </row>
    <row r="56" spans="1:30" x14ac:dyDescent="0.25">
      <c r="A56" s="44"/>
      <c r="B56" s="23"/>
      <c r="G56" s="23"/>
      <c r="AB56" s="13" t="s">
        <v>55</v>
      </c>
      <c r="AC56" s="13" t="s">
        <v>64</v>
      </c>
      <c r="AD56" s="8"/>
    </row>
    <row r="57" spans="1:30" x14ac:dyDescent="0.25">
      <c r="A57" s="44"/>
      <c r="B57" s="23"/>
      <c r="G57" s="23"/>
      <c r="AB57" s="13" t="s">
        <v>56</v>
      </c>
      <c r="AC57" s="13" t="s">
        <v>67</v>
      </c>
      <c r="AD57" s="8"/>
    </row>
    <row r="58" spans="1:30" x14ac:dyDescent="0.25">
      <c r="A58" s="44"/>
      <c r="B58" s="23"/>
      <c r="G58" s="23"/>
      <c r="AB58" s="13" t="s">
        <v>40</v>
      </c>
      <c r="AC58" s="13" t="s">
        <v>64</v>
      </c>
      <c r="AD58" s="8"/>
    </row>
    <row r="59" spans="1:30" x14ac:dyDescent="0.25">
      <c r="A59" s="44"/>
      <c r="B59" s="23"/>
      <c r="G59" s="23"/>
      <c r="AB59" s="13" t="s">
        <v>57</v>
      </c>
      <c r="AC59" s="13" t="s">
        <v>64</v>
      </c>
      <c r="AD59" s="8"/>
    </row>
    <row r="60" spans="1:30" x14ac:dyDescent="0.25">
      <c r="A60" s="44"/>
      <c r="B60" s="23"/>
      <c r="G60" s="23"/>
    </row>
    <row r="61" spans="1:30" x14ac:dyDescent="0.25">
      <c r="A61" s="44"/>
      <c r="B61" s="23"/>
      <c r="G61" s="23"/>
    </row>
    <row r="62" spans="1:30" x14ac:dyDescent="0.25">
      <c r="A62" s="44"/>
      <c r="B62" s="23"/>
      <c r="G62" s="23"/>
    </row>
    <row r="63" spans="1:30" x14ac:dyDescent="0.25">
      <c r="A63" s="44"/>
      <c r="B63" s="23"/>
      <c r="G63" s="23"/>
    </row>
    <row r="64" spans="1:30" x14ac:dyDescent="0.25">
      <c r="A64" s="44"/>
      <c r="B64" s="23"/>
      <c r="G64" s="23"/>
    </row>
    <row r="65" spans="1:7" x14ac:dyDescent="0.25">
      <c r="A65" s="44"/>
      <c r="B65" s="23"/>
      <c r="G65" s="23"/>
    </row>
    <row r="66" spans="1:7" x14ac:dyDescent="0.25">
      <c r="A66" s="44"/>
      <c r="B66" s="23"/>
      <c r="G66" s="23"/>
    </row>
    <row r="67" spans="1:7" x14ac:dyDescent="0.25">
      <c r="A67" s="44"/>
      <c r="B67" s="23"/>
      <c r="G67" s="23"/>
    </row>
    <row r="68" spans="1:7" x14ac:dyDescent="0.25">
      <c r="A68" s="44"/>
      <c r="B68" s="23"/>
      <c r="G68" s="23"/>
    </row>
    <row r="69" spans="1:7" x14ac:dyDescent="0.25">
      <c r="A69" s="44"/>
      <c r="B69" s="23"/>
      <c r="G69" s="23"/>
    </row>
    <row r="70" spans="1:7" x14ac:dyDescent="0.25">
      <c r="A70" s="44"/>
      <c r="B70" s="23"/>
      <c r="G70" s="23"/>
    </row>
    <row r="71" spans="1:7" x14ac:dyDescent="0.25">
      <c r="A71" s="44"/>
      <c r="B71" s="23"/>
      <c r="E71" s="23"/>
      <c r="G71" s="23"/>
    </row>
    <row r="72" spans="1:7" x14ac:dyDescent="0.25">
      <c r="A72" s="44"/>
      <c r="B72" s="23"/>
      <c r="E72" s="23"/>
      <c r="G72" s="23"/>
    </row>
    <row r="73" spans="1:7" x14ac:dyDescent="0.25">
      <c r="A73" s="44"/>
      <c r="B73" s="23"/>
      <c r="G73" s="23"/>
    </row>
    <row r="74" spans="1:7" x14ac:dyDescent="0.25">
      <c r="A74" s="44"/>
      <c r="B74" s="23"/>
      <c r="G74" s="23"/>
    </row>
    <row r="75" spans="1:7" x14ac:dyDescent="0.25">
      <c r="A75" s="44"/>
      <c r="B75" s="23"/>
      <c r="G75" s="23"/>
    </row>
    <row r="76" spans="1:7" x14ac:dyDescent="0.25">
      <c r="A76" s="44"/>
      <c r="B76" s="23"/>
      <c r="G76" s="23"/>
    </row>
    <row r="77" spans="1:7" x14ac:dyDescent="0.25">
      <c r="A77" s="44"/>
      <c r="B77" s="23"/>
      <c r="G77" s="23"/>
    </row>
    <row r="78" spans="1:7" x14ac:dyDescent="0.25">
      <c r="A78" s="44"/>
      <c r="B78" s="23"/>
      <c r="G78" s="23"/>
    </row>
    <row r="79" spans="1:7" x14ac:dyDescent="0.25">
      <c r="A79" s="44"/>
      <c r="B79" s="23"/>
      <c r="G79" s="23"/>
    </row>
    <row r="80" spans="1:7" x14ac:dyDescent="0.25">
      <c r="A80" s="44"/>
      <c r="B80" s="23"/>
      <c r="G80" s="23"/>
    </row>
    <row r="81" spans="1:7" x14ac:dyDescent="0.25">
      <c r="A81" s="44"/>
      <c r="B81" s="23"/>
      <c r="G81" s="23"/>
    </row>
    <row r="82" spans="1:7" x14ac:dyDescent="0.25">
      <c r="A82" s="30"/>
      <c r="B82" s="23"/>
      <c r="G82" s="23"/>
    </row>
    <row r="83" spans="1:7" x14ac:dyDescent="0.25">
      <c r="A83" s="30"/>
      <c r="B83" s="23"/>
      <c r="G83" s="23"/>
    </row>
    <row r="84" spans="1:7" x14ac:dyDescent="0.25">
      <c r="A84" s="30"/>
      <c r="B84" s="23"/>
      <c r="G84" s="23"/>
    </row>
    <row r="85" spans="1:7" x14ac:dyDescent="0.25">
      <c r="A85" s="30"/>
      <c r="B85" s="23"/>
      <c r="G85" s="23"/>
    </row>
    <row r="86" spans="1:7" x14ac:dyDescent="0.25">
      <c r="A86" s="30"/>
      <c r="B86" s="23"/>
      <c r="G86" s="23"/>
    </row>
    <row r="87" spans="1:7" x14ac:dyDescent="0.25">
      <c r="F87" s="12" t="str">
        <f>IFERROR(VLOOKUP(E87,'Data sheet'!$B:$C,2,0),"")</f>
        <v/>
      </c>
    </row>
    <row r="88" spans="1:7" x14ac:dyDescent="0.25">
      <c r="F88" s="12" t="str">
        <f>IFERROR(VLOOKUP(E88,'Data sheet'!$B:$C,2,0),"")</f>
        <v/>
      </c>
    </row>
    <row r="89" spans="1:7" x14ac:dyDescent="0.25">
      <c r="F89" s="12" t="str">
        <f>IFERROR(VLOOKUP(E89,'Data sheet'!$B:$C,2,0),"")</f>
        <v/>
      </c>
    </row>
    <row r="90" spans="1:7" x14ac:dyDescent="0.25">
      <c r="F90" s="12" t="str">
        <f>IFERROR(VLOOKUP(E90,'Data sheet'!$B:$C,2,0),"")</f>
        <v/>
      </c>
    </row>
    <row r="91" spans="1:7" x14ac:dyDescent="0.25">
      <c r="F91" s="12" t="str">
        <f>IFERROR(VLOOKUP(E91,'Data sheet'!$B:$C,2,0),"")</f>
        <v/>
      </c>
    </row>
    <row r="92" spans="1:7" x14ac:dyDescent="0.25">
      <c r="F92" s="12" t="str">
        <f>IFERROR(VLOOKUP(E92,'Data sheet'!$B:$C,2,0),"")</f>
        <v/>
      </c>
    </row>
    <row r="93" spans="1:7" x14ac:dyDescent="0.25">
      <c r="F93" s="12" t="str">
        <f>IFERROR(VLOOKUP(E93,'Data sheet'!$B:$C,2,0),"")</f>
        <v/>
      </c>
    </row>
    <row r="94" spans="1:7" x14ac:dyDescent="0.25">
      <c r="F94" s="12" t="str">
        <f>IFERROR(VLOOKUP(E94,'Data sheet'!$B:$C,2,0),"")</f>
        <v/>
      </c>
    </row>
    <row r="95" spans="1:7" x14ac:dyDescent="0.25">
      <c r="F95" s="12" t="str">
        <f>IFERROR(VLOOKUP(E95,'Data sheet'!$B:$C,2,0),"")</f>
        <v/>
      </c>
    </row>
    <row r="96" spans="1:7"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f>
        <v/>
      </c>
    </row>
    <row r="493" spans="6:6" x14ac:dyDescent="0.25">
      <c r="F493" s="12" t="str">
        <f>IFERROR(VLOOKUP(E493,'Data sheet'!$B:$C,2),"")</f>
        <v/>
      </c>
    </row>
    <row r="494" spans="6:6" x14ac:dyDescent="0.25">
      <c r="F494" s="12" t="str">
        <f>IFERROR(VLOOKUP(E494,'Data sheet'!$B:$C,2),"")</f>
        <v/>
      </c>
    </row>
    <row r="495" spans="6:6" x14ac:dyDescent="0.25">
      <c r="F495" s="12" t="str">
        <f>IFERROR(VLOOKUP(E495,'Data sheet'!$B:$C,2),"")</f>
        <v/>
      </c>
    </row>
    <row r="496" spans="6:6" x14ac:dyDescent="0.25">
      <c r="F496" s="12" t="str">
        <f>IFERROR(VLOOKUP(E496,'Data sheet'!$B:$C,2),"")</f>
        <v/>
      </c>
    </row>
    <row r="497" spans="6:6" x14ac:dyDescent="0.25">
      <c r="F497" s="12" t="str">
        <f>IFERROR(VLOOKUP(E497,'Data sheet'!$B:$C,2),"")</f>
        <v/>
      </c>
    </row>
    <row r="498" spans="6:6" x14ac:dyDescent="0.25">
      <c r="F498" s="12" t="str">
        <f>IFERROR(VLOOKUP(E498,'Data sheet'!$B:$C,2),"")</f>
        <v/>
      </c>
    </row>
    <row r="499" spans="6:6" x14ac:dyDescent="0.25">
      <c r="F499" s="12" t="str">
        <f>IFERROR(VLOOKUP(E499,'Data sheet'!$B:$C,2),"")</f>
        <v/>
      </c>
    </row>
    <row r="500" spans="6:6" x14ac:dyDescent="0.25">
      <c r="F500" s="12" t="str">
        <f>IFERROR(VLOOKUP(E500,'Data sheet'!$B:$C,2),"")</f>
        <v/>
      </c>
    </row>
    <row r="501" spans="6:6" x14ac:dyDescent="0.25">
      <c r="F501" s="12" t="str">
        <f>IFERROR(VLOOKUP(E501,'Data sheet'!$B:$C,2),"")</f>
        <v/>
      </c>
    </row>
    <row r="502" spans="6:6" x14ac:dyDescent="0.25">
      <c r="F502" s="12" t="str">
        <f>IFERROR(VLOOKUP(E502,'Data sheet'!$B:$C,2),"")</f>
        <v/>
      </c>
    </row>
    <row r="503" spans="6:6" x14ac:dyDescent="0.25">
      <c r="F503" s="12" t="str">
        <f>IFERROR(VLOOKUP(E503,'Data sheet'!$B:$C,2),"")</f>
        <v/>
      </c>
    </row>
    <row r="504" spans="6:6" x14ac:dyDescent="0.25">
      <c r="F504" s="12" t="str">
        <f>IFERROR(VLOOKUP(E504,'Data sheet'!$B:$C,2),"")</f>
        <v/>
      </c>
    </row>
    <row r="505" spans="6:6" x14ac:dyDescent="0.25">
      <c r="F505" s="12" t="str">
        <f>IFERROR(VLOOKUP(E505,'Data sheet'!$B:$C,2),"")</f>
        <v/>
      </c>
    </row>
    <row r="506" spans="6:6" x14ac:dyDescent="0.25">
      <c r="F506" s="12" t="str">
        <f>IFERROR(VLOOKUP(E506,'Data sheet'!$B:$C,2),"")</f>
        <v/>
      </c>
    </row>
    <row r="507" spans="6:6" x14ac:dyDescent="0.25">
      <c r="F507" s="12" t="str">
        <f>IFERROR(VLOOKUP(E507,'Data sheet'!$B:$C,2),"")</f>
        <v/>
      </c>
    </row>
    <row r="508" spans="6:6" x14ac:dyDescent="0.25">
      <c r="F508" s="12" t="str">
        <f>IFERROR(VLOOKUP(E508,'Data sheet'!$B:$C,2),"")</f>
        <v/>
      </c>
    </row>
    <row r="509" spans="6:6" x14ac:dyDescent="0.25">
      <c r="F509" s="12" t="str">
        <f>IFERROR(VLOOKUP(E509,'Data sheet'!$B:$C,2),"")</f>
        <v/>
      </c>
    </row>
    <row r="510" spans="6:6" x14ac:dyDescent="0.25">
      <c r="F510" s="12" t="str">
        <f>IFERROR(VLOOKUP(E510,'Data sheet'!$B:$C,2),"")</f>
        <v/>
      </c>
    </row>
    <row r="511" spans="6:6" x14ac:dyDescent="0.25">
      <c r="F511" s="12" t="str">
        <f>IFERROR(VLOOKUP(E511,'Data sheet'!$B:$C,2),"")</f>
        <v/>
      </c>
    </row>
    <row r="512" spans="6:6" x14ac:dyDescent="0.25">
      <c r="F512" s="12" t="str">
        <f>IFERROR(VLOOKUP(E512,'Data sheet'!$B:$C,2),"")</f>
        <v/>
      </c>
    </row>
    <row r="513" spans="6:6" x14ac:dyDescent="0.25">
      <c r="F513" s="12" t="str">
        <f>IFERROR(VLOOKUP(E513,'Data sheet'!$B:$C,2),"")</f>
        <v/>
      </c>
    </row>
    <row r="514" spans="6:6" x14ac:dyDescent="0.25">
      <c r="F514" s="12" t="str">
        <f>IFERROR(VLOOKUP(E514,'Data sheet'!$B:$C,2),"")</f>
        <v/>
      </c>
    </row>
    <row r="515" spans="6:6" x14ac:dyDescent="0.25">
      <c r="F515" s="12" t="str">
        <f>IFERROR(VLOOKUP(E515,'Data sheet'!$B:$C,2),"")</f>
        <v/>
      </c>
    </row>
    <row r="516" spans="6:6" x14ac:dyDescent="0.25">
      <c r="F516" s="12" t="str">
        <f>IFERROR(VLOOKUP(E516,'Data sheet'!$B:$C,2),"")</f>
        <v/>
      </c>
    </row>
    <row r="517" spans="6:6" x14ac:dyDescent="0.25">
      <c r="F517" s="12" t="str">
        <f>IFERROR(VLOOKUP(E517,'Data sheet'!$B:$C,2),"")</f>
        <v/>
      </c>
    </row>
    <row r="518" spans="6:6" x14ac:dyDescent="0.25">
      <c r="F518" s="12" t="str">
        <f>IFERROR(VLOOKUP(E518,'Data sheet'!$B:$C,2),"")</f>
        <v/>
      </c>
    </row>
    <row r="519" spans="6:6" x14ac:dyDescent="0.25">
      <c r="F519" s="12" t="str">
        <f>IFERROR(VLOOKUP(E519,'Data sheet'!$B:$C,2),"")</f>
        <v/>
      </c>
    </row>
    <row r="520" spans="6:6" x14ac:dyDescent="0.25">
      <c r="F520" s="12" t="str">
        <f>IFERROR(VLOOKUP(E520,'Data sheet'!$B:$C,2),"")</f>
        <v/>
      </c>
    </row>
    <row r="521" spans="6:6" x14ac:dyDescent="0.25">
      <c r="F521" s="12" t="str">
        <f>IFERROR(VLOOKUP(E521,'Data sheet'!$B:$C,2),"")</f>
        <v/>
      </c>
    </row>
    <row r="522" spans="6:6" x14ac:dyDescent="0.25">
      <c r="F522" s="12" t="str">
        <f>IFERROR(VLOOKUP(E522,'Data sheet'!$B:$C,2),"")</f>
        <v/>
      </c>
    </row>
    <row r="523" spans="6:6" x14ac:dyDescent="0.25">
      <c r="F523" s="12" t="str">
        <f>IFERROR(VLOOKUP(E523,'Data sheet'!$B:$C,2),"")</f>
        <v/>
      </c>
    </row>
    <row r="524" spans="6:6" x14ac:dyDescent="0.25">
      <c r="F524" s="12" t="str">
        <f>IFERROR(VLOOKUP(E524,'Data sheet'!$B:$C,2),"")</f>
        <v/>
      </c>
    </row>
    <row r="525" spans="6:6" x14ac:dyDescent="0.25">
      <c r="F525" s="12" t="str">
        <f>IFERROR(VLOOKUP(E525,'Data sheet'!$B:$C,2),"")</f>
        <v/>
      </c>
    </row>
    <row r="526" spans="6:6" x14ac:dyDescent="0.25">
      <c r="F526" s="12" t="str">
        <f>IFERROR(VLOOKUP(E526,'Data sheet'!$B:$C,2),"")</f>
        <v/>
      </c>
    </row>
    <row r="527" spans="6:6" x14ac:dyDescent="0.25">
      <c r="F527" s="12" t="str">
        <f>IFERROR(VLOOKUP(E527,'Data sheet'!$B:$C,2),"")</f>
        <v/>
      </c>
    </row>
    <row r="528" spans="6:6" x14ac:dyDescent="0.25">
      <c r="F528" s="12" t="str">
        <f>IFERROR(VLOOKUP(E528,'Data sheet'!$B:$C,2),"")</f>
        <v/>
      </c>
    </row>
    <row r="529" spans="6:6" x14ac:dyDescent="0.25">
      <c r="F529" s="12" t="str">
        <f>IFERROR(VLOOKUP(E529,'Data sheet'!$B:$C,2),"")</f>
        <v/>
      </c>
    </row>
    <row r="530" spans="6:6" x14ac:dyDescent="0.25">
      <c r="F530" s="12" t="str">
        <f>IFERROR(VLOOKUP(E530,'Data sheet'!$B:$C,2),"")</f>
        <v/>
      </c>
    </row>
    <row r="531" spans="6:6" x14ac:dyDescent="0.25">
      <c r="F531" s="12" t="str">
        <f>IFERROR(VLOOKUP(E531,'Data sheet'!$B:$C,2),"")</f>
        <v/>
      </c>
    </row>
    <row r="532" spans="6:6" x14ac:dyDescent="0.25">
      <c r="F532" s="12" t="str">
        <f>IFERROR(VLOOKUP(E532,'Data sheet'!$B:$C,2),"")</f>
        <v/>
      </c>
    </row>
    <row r="533" spans="6:6" x14ac:dyDescent="0.25">
      <c r="F533" s="12" t="str">
        <f>IFERROR(VLOOKUP(E533,'Data sheet'!$B:$C,2),"")</f>
        <v/>
      </c>
    </row>
    <row r="534" spans="6:6" x14ac:dyDescent="0.25">
      <c r="F534" s="12" t="str">
        <f>IFERROR(VLOOKUP(E534,'Data sheet'!$B:$C,2),"")</f>
        <v/>
      </c>
    </row>
    <row r="535" spans="6:6" x14ac:dyDescent="0.25">
      <c r="F535" s="12" t="str">
        <f>IFERROR(VLOOKUP(E535,'Data sheet'!$B:$C,2),"")</f>
        <v/>
      </c>
    </row>
    <row r="536" spans="6:6" x14ac:dyDescent="0.25">
      <c r="F536" s="12" t="str">
        <f>IFERROR(VLOOKUP(E536,'Data sheet'!$B:$C,2),"")</f>
        <v/>
      </c>
    </row>
    <row r="537" spans="6:6" x14ac:dyDescent="0.25">
      <c r="F537" s="12" t="str">
        <f>IFERROR(VLOOKUP(E537,'Data sheet'!$B:$C,2),"")</f>
        <v/>
      </c>
    </row>
    <row r="538" spans="6:6" x14ac:dyDescent="0.25">
      <c r="F538" s="12" t="str">
        <f>IFERROR(VLOOKUP(E538,'Data sheet'!$B:$C,2),"")</f>
        <v/>
      </c>
    </row>
    <row r="539" spans="6:6" x14ac:dyDescent="0.25">
      <c r="F539" s="12" t="str">
        <f>IFERROR(VLOOKUP(E539,'Data sheet'!$B:$C,2),"")</f>
        <v/>
      </c>
    </row>
    <row r="540" spans="6:6" x14ac:dyDescent="0.25">
      <c r="F540" s="12" t="str">
        <f>IFERROR(VLOOKUP(E540,'Data sheet'!$B:$C,2),"")</f>
        <v/>
      </c>
    </row>
    <row r="541" spans="6:6" x14ac:dyDescent="0.25">
      <c r="F541" s="12" t="str">
        <f>IFERROR(VLOOKUP(E541,'Data sheet'!$B:$C,2),"")</f>
        <v/>
      </c>
    </row>
    <row r="542" spans="6:6" x14ac:dyDescent="0.25">
      <c r="F542" s="12" t="str">
        <f>IFERROR(VLOOKUP(E542,'Data sheet'!$B:$C,2),"")</f>
        <v/>
      </c>
    </row>
    <row r="543" spans="6:6" x14ac:dyDescent="0.25">
      <c r="F543" s="12" t="str">
        <f>IFERROR(VLOOKUP(E543,'Data sheet'!$B:$C,2),"")</f>
        <v/>
      </c>
    </row>
    <row r="544" spans="6:6" x14ac:dyDescent="0.25">
      <c r="F544" s="12" t="str">
        <f>IFERROR(VLOOKUP(E544,'Data sheet'!$B:$C,2),"")</f>
        <v/>
      </c>
    </row>
    <row r="545" spans="6:6" x14ac:dyDescent="0.25">
      <c r="F545" s="12" t="str">
        <f>IFERROR(VLOOKUP(E545,'Data sheet'!$B:$C,2),"")</f>
        <v/>
      </c>
    </row>
    <row r="546" spans="6:6" x14ac:dyDescent="0.25">
      <c r="F546" s="12" t="str">
        <f>IFERROR(VLOOKUP(E546,'Data sheet'!$B:$C,2),"")</f>
        <v/>
      </c>
    </row>
    <row r="547" spans="6:6" x14ac:dyDescent="0.25">
      <c r="F547" s="12" t="str">
        <f>IFERROR(VLOOKUP(E547,'Data sheet'!$B:$C,2),"")</f>
        <v/>
      </c>
    </row>
    <row r="548" spans="6:6" x14ac:dyDescent="0.25">
      <c r="F548" s="12" t="str">
        <f>IFERROR(VLOOKUP(E548,'Data sheet'!$B:$C,2),"")</f>
        <v/>
      </c>
    </row>
    <row r="549" spans="6:6" x14ac:dyDescent="0.25">
      <c r="F549" s="12" t="str">
        <f>IFERROR(VLOOKUP(E549,'Data sheet'!$B:$C,2),"")</f>
        <v/>
      </c>
    </row>
    <row r="550" spans="6:6" x14ac:dyDescent="0.25">
      <c r="F550" s="12" t="str">
        <f>IFERROR(VLOOKUP(E550,'Data sheet'!$B:$C,2),"")</f>
        <v/>
      </c>
    </row>
    <row r="551" spans="6:6" x14ac:dyDescent="0.25">
      <c r="F551" s="12" t="str">
        <f>IFERROR(VLOOKUP(E551,'Data sheet'!$B:$C,2),"")</f>
        <v/>
      </c>
    </row>
    <row r="552" spans="6:6" x14ac:dyDescent="0.25">
      <c r="F552" s="12" t="str">
        <f>IFERROR(VLOOKUP(E552,'Data sheet'!$B:$C,2),"")</f>
        <v/>
      </c>
    </row>
    <row r="553" spans="6:6" x14ac:dyDescent="0.25">
      <c r="F553" s="12" t="str">
        <f>IFERROR(VLOOKUP(E553,'Data sheet'!$B:$C,2),"")</f>
        <v/>
      </c>
    </row>
    <row r="554" spans="6:6" x14ac:dyDescent="0.25">
      <c r="F554" s="12" t="str">
        <f>IFERROR(VLOOKUP(E554,'Data sheet'!$B:$C,2),"")</f>
        <v/>
      </c>
    </row>
    <row r="555" spans="6:6" x14ac:dyDescent="0.25">
      <c r="F555" s="12" t="str">
        <f>IFERROR(VLOOKUP(E555,'Data sheet'!$B:$C,2),"")</f>
        <v/>
      </c>
    </row>
    <row r="556" spans="6:6" x14ac:dyDescent="0.25">
      <c r="F556" s="12" t="str">
        <f>IFERROR(VLOOKUP(E556,'Data sheet'!$B:$C,2),"")</f>
        <v/>
      </c>
    </row>
    <row r="557" spans="6:6" x14ac:dyDescent="0.25">
      <c r="F557" s="12" t="str">
        <f>IFERROR(VLOOKUP(E557,'Data sheet'!$B:$C,2),"")</f>
        <v/>
      </c>
    </row>
    <row r="558" spans="6:6" x14ac:dyDescent="0.25">
      <c r="F558" s="12" t="str">
        <f>IFERROR(VLOOKUP(E558,'Data sheet'!$B:$C,2),"")</f>
        <v/>
      </c>
    </row>
    <row r="559" spans="6:6" x14ac:dyDescent="0.25">
      <c r="F559" s="12" t="str">
        <f>IFERROR(VLOOKUP(E559,'Data sheet'!$B:$C,2),"")</f>
        <v/>
      </c>
    </row>
    <row r="560" spans="6:6" x14ac:dyDescent="0.25">
      <c r="F560" s="12" t="str">
        <f>IFERROR(VLOOKUP(E560,'Data sheet'!$B:$C,2),"")</f>
        <v/>
      </c>
    </row>
    <row r="561" spans="6:6" x14ac:dyDescent="0.25">
      <c r="F561" s="12" t="str">
        <f>IFERROR(VLOOKUP(E561,'Data sheet'!$B:$C,2),"")</f>
        <v/>
      </c>
    </row>
    <row r="562" spans="6:6" x14ac:dyDescent="0.25">
      <c r="F562" s="12" t="str">
        <f>IFERROR(VLOOKUP(E562,'Data sheet'!$B:$C,2),"")</f>
        <v/>
      </c>
    </row>
    <row r="563" spans="6:6" x14ac:dyDescent="0.25">
      <c r="F563" s="12" t="str">
        <f>IFERROR(VLOOKUP(E563,'Data sheet'!$B:$C,2),"")</f>
        <v/>
      </c>
    </row>
    <row r="564" spans="6:6" x14ac:dyDescent="0.25">
      <c r="F564" s="12" t="str">
        <f>IFERROR(VLOOKUP(E564,'Data sheet'!$B:$C,2),"")</f>
        <v/>
      </c>
    </row>
    <row r="565" spans="6:6" x14ac:dyDescent="0.25">
      <c r="F565" s="12" t="str">
        <f>IFERROR(VLOOKUP(E565,'Data sheet'!$B:$C,2),"")</f>
        <v/>
      </c>
    </row>
    <row r="566" spans="6:6" x14ac:dyDescent="0.25">
      <c r="F566" s="12" t="str">
        <f>IFERROR(VLOOKUP(E566,'Data sheet'!$B:$C,2),"")</f>
        <v/>
      </c>
    </row>
    <row r="567" spans="6:6" x14ac:dyDescent="0.25">
      <c r="F567" s="12" t="str">
        <f>IFERROR(VLOOKUP(E567,'Data sheet'!$B:$C,2),"")</f>
        <v/>
      </c>
    </row>
    <row r="568" spans="6:6" x14ac:dyDescent="0.25">
      <c r="F568" s="12" t="str">
        <f>IFERROR(VLOOKUP(E568,'Data sheet'!$B:$C,2),"")</f>
        <v/>
      </c>
    </row>
    <row r="569" spans="6:6" x14ac:dyDescent="0.25">
      <c r="F569" s="12" t="str">
        <f>IFERROR(VLOOKUP(E569,'Data sheet'!$B:$C,2),"")</f>
        <v/>
      </c>
    </row>
    <row r="570" spans="6:6" x14ac:dyDescent="0.25">
      <c r="F570" s="12" t="str">
        <f>IFERROR(VLOOKUP(E570,'Data sheet'!$B:$C,2),"")</f>
        <v/>
      </c>
    </row>
    <row r="571" spans="6:6" x14ac:dyDescent="0.25">
      <c r="F571" s="12" t="str">
        <f>IFERROR(VLOOKUP(E571,'Data sheet'!$B:$C,2),"")</f>
        <v/>
      </c>
    </row>
    <row r="572" spans="6:6" x14ac:dyDescent="0.25">
      <c r="F572" s="12" t="str">
        <f>IFERROR(VLOOKUP(E572,'Data sheet'!$B:$C,2),"")</f>
        <v/>
      </c>
    </row>
    <row r="573" spans="6:6" x14ac:dyDescent="0.25">
      <c r="F573" s="12" t="str">
        <f>IFERROR(VLOOKUP(E573,'Data sheet'!$B:$C,2),"")</f>
        <v/>
      </c>
    </row>
    <row r="574" spans="6:6" x14ac:dyDescent="0.25">
      <c r="F574" s="12" t="str">
        <f>IFERROR(VLOOKUP(E574,'Data sheet'!$B:$C,2),"")</f>
        <v/>
      </c>
    </row>
    <row r="575" spans="6:6" x14ac:dyDescent="0.25">
      <c r="F575" s="12" t="str">
        <f>IFERROR(VLOOKUP(E575,'Data sheet'!$B:$C,2),"")</f>
        <v/>
      </c>
    </row>
    <row r="576" spans="6:6" x14ac:dyDescent="0.25">
      <c r="F576" s="12" t="str">
        <f>IFERROR(VLOOKUP(E576,'Data sheet'!$B:$C,2),"")</f>
        <v/>
      </c>
    </row>
    <row r="577" spans="6:6" x14ac:dyDescent="0.25">
      <c r="F577" s="12" t="str">
        <f>IFERROR(VLOOKUP(E577,'Data sheet'!$B:$C,2),"")</f>
        <v/>
      </c>
    </row>
    <row r="578" spans="6:6" x14ac:dyDescent="0.25">
      <c r="F578" s="12" t="str">
        <f>IFERROR(VLOOKUP(E578,'Data sheet'!$B:$C,2),"")</f>
        <v/>
      </c>
    </row>
    <row r="579" spans="6:6" x14ac:dyDescent="0.25">
      <c r="F579" s="12" t="str">
        <f>IFERROR(VLOOKUP(E579,'Data sheet'!$B:$C,2),"")</f>
        <v/>
      </c>
    </row>
    <row r="580" spans="6:6" x14ac:dyDescent="0.25">
      <c r="F580" s="12" t="str">
        <f>IFERROR(VLOOKUP(E580,'Data sheet'!$B:$C,2),"")</f>
        <v/>
      </c>
    </row>
    <row r="581" spans="6:6" x14ac:dyDescent="0.25">
      <c r="F581" s="12" t="str">
        <f>IFERROR(VLOOKUP(E581,'Data sheet'!$B:$C,2),"")</f>
        <v/>
      </c>
    </row>
    <row r="582" spans="6:6" x14ac:dyDescent="0.25">
      <c r="F582" s="12" t="str">
        <f>IFERROR(VLOOKUP(E582,'Data sheet'!$B:$C,2),"")</f>
        <v/>
      </c>
    </row>
    <row r="583" spans="6:6" x14ac:dyDescent="0.25">
      <c r="F583" s="12" t="str">
        <f>IFERROR(VLOOKUP(E583,'Data sheet'!$B:$C,2),"")</f>
        <v/>
      </c>
    </row>
    <row r="584" spans="6:6" x14ac:dyDescent="0.25">
      <c r="F584" s="12" t="str">
        <f>IFERROR(VLOOKUP(E584,'Data sheet'!$B:$C,2),"")</f>
        <v/>
      </c>
    </row>
    <row r="585" spans="6:6" x14ac:dyDescent="0.25">
      <c r="F585" s="12" t="str">
        <f>IFERROR(VLOOKUP(E585,'Data sheet'!$B:$C,2),"")</f>
        <v/>
      </c>
    </row>
    <row r="586" spans="6:6" x14ac:dyDescent="0.25">
      <c r="F586" s="12" t="str">
        <f>IFERROR(VLOOKUP(E586,'Data sheet'!$B:$C,2),"")</f>
        <v/>
      </c>
    </row>
    <row r="587" spans="6:6" x14ac:dyDescent="0.25">
      <c r="F587" s="12" t="str">
        <f>IFERROR(VLOOKUP(E587,'Data sheet'!$B:$C,2),"")</f>
        <v/>
      </c>
    </row>
    <row r="588" spans="6:6" x14ac:dyDescent="0.25">
      <c r="F588" s="12" t="str">
        <f>IFERROR(VLOOKUP(E588,'Data sheet'!$B:$C,2),"")</f>
        <v/>
      </c>
    </row>
    <row r="589" spans="6:6" x14ac:dyDescent="0.25">
      <c r="F589" s="12" t="str">
        <f>IFERROR(VLOOKUP(E589,'Data sheet'!$B:$C,2),"")</f>
        <v/>
      </c>
    </row>
    <row r="590" spans="6:6" x14ac:dyDescent="0.25">
      <c r="F590" s="12" t="str">
        <f>IFERROR(VLOOKUP(E590,'Data sheet'!$B:$C,2),"")</f>
        <v/>
      </c>
    </row>
    <row r="591" spans="6:6" x14ac:dyDescent="0.25">
      <c r="F591" s="12" t="str">
        <f>IFERROR(VLOOKUP(E591,'Data sheet'!$B:$C,2),"")</f>
        <v/>
      </c>
    </row>
    <row r="592" spans="6:6" x14ac:dyDescent="0.25">
      <c r="F592" s="12" t="str">
        <f>IFERROR(VLOOKUP(E592,'Data sheet'!$B:$C,2),"")</f>
        <v/>
      </c>
    </row>
    <row r="593" spans="6:6" x14ac:dyDescent="0.25">
      <c r="F593" s="12" t="str">
        <f>IFERROR(VLOOKUP(E593,'Data sheet'!$B:$C,2),"")</f>
        <v/>
      </c>
    </row>
    <row r="594" spans="6:6" x14ac:dyDescent="0.25">
      <c r="F594" s="12" t="str">
        <f>IFERROR(VLOOKUP(E594,'Data sheet'!$B:$C,2),"")</f>
        <v/>
      </c>
    </row>
    <row r="595" spans="6:6" x14ac:dyDescent="0.25">
      <c r="F595" s="12" t="str">
        <f>IFERROR(VLOOKUP(E595,'Data sheet'!$B:$C,2),"")</f>
        <v/>
      </c>
    </row>
    <row r="596" spans="6:6" x14ac:dyDescent="0.25">
      <c r="F596" s="12" t="str">
        <f>IFERROR(VLOOKUP(E596,'Data sheet'!$B:$C,2),"")</f>
        <v/>
      </c>
    </row>
    <row r="597" spans="6:6" x14ac:dyDescent="0.25">
      <c r="F597" s="12" t="str">
        <f>IFERROR(VLOOKUP(E597,'Data sheet'!$B:$C,2),"")</f>
        <v/>
      </c>
    </row>
    <row r="598" spans="6:6" x14ac:dyDescent="0.25">
      <c r="F598" s="12" t="str">
        <f>IFERROR(VLOOKUP(E598,'Data sheet'!$B:$C,2),"")</f>
        <v/>
      </c>
    </row>
    <row r="599" spans="6:6" x14ac:dyDescent="0.25">
      <c r="F599" s="12" t="str">
        <f>IFERROR(VLOOKUP(E599,'Data sheet'!$B:$C,2),"")</f>
        <v/>
      </c>
    </row>
    <row r="600" spans="6:6" x14ac:dyDescent="0.25">
      <c r="F600" s="12" t="str">
        <f>IFERROR(VLOOKUP(E600,'Data sheet'!$B:$C,2),"")</f>
        <v/>
      </c>
    </row>
    <row r="601" spans="6:6" x14ac:dyDescent="0.25">
      <c r="F601" s="12" t="str">
        <f>IFERROR(VLOOKUP(E601,'Data sheet'!$B:$C,2),"")</f>
        <v/>
      </c>
    </row>
    <row r="602" spans="6:6" x14ac:dyDescent="0.25">
      <c r="F602" s="12" t="str">
        <f>IFERROR(VLOOKUP(E602,'Data sheet'!$B:$C,2),"")</f>
        <v/>
      </c>
    </row>
    <row r="603" spans="6:6" x14ac:dyDescent="0.25">
      <c r="F603" s="12" t="str">
        <f>IFERROR(VLOOKUP(E603,'Data sheet'!$B:$C,2),"")</f>
        <v/>
      </c>
    </row>
    <row r="604" spans="6:6" x14ac:dyDescent="0.25">
      <c r="F604" s="12" t="str">
        <f>IFERROR(VLOOKUP(E604,'Data sheet'!$B:$C,2),"")</f>
        <v/>
      </c>
    </row>
    <row r="605" spans="6:6" x14ac:dyDescent="0.25">
      <c r="F605" s="12" t="str">
        <f>IFERROR(VLOOKUP(E605,'Data sheet'!$B:$C,2),"")</f>
        <v/>
      </c>
    </row>
    <row r="606" spans="6:6" x14ac:dyDescent="0.25">
      <c r="F606" s="12" t="str">
        <f>IFERROR(VLOOKUP(E606,'Data sheet'!$B:$C,2),"")</f>
        <v/>
      </c>
    </row>
    <row r="607" spans="6:6" x14ac:dyDescent="0.25">
      <c r="F607" s="12" t="str">
        <f>IFERROR(VLOOKUP(E607,'Data sheet'!$B:$C,2),"")</f>
        <v/>
      </c>
    </row>
    <row r="608" spans="6:6" x14ac:dyDescent="0.25">
      <c r="F608" s="12" t="str">
        <f>IFERROR(VLOOKUP(E608,'Data sheet'!$B:$C,2),"")</f>
        <v/>
      </c>
    </row>
    <row r="609" spans="6:6" x14ac:dyDescent="0.25">
      <c r="F609" s="12" t="str">
        <f>IFERROR(VLOOKUP(E609,'Data sheet'!$B:$C,2),"")</f>
        <v/>
      </c>
    </row>
    <row r="610" spans="6:6" x14ac:dyDescent="0.25">
      <c r="F610" s="12" t="str">
        <f>IFERROR(VLOOKUP(E610,'Data sheet'!$B:$C,2),"")</f>
        <v/>
      </c>
    </row>
    <row r="611" spans="6:6" x14ac:dyDescent="0.25">
      <c r="F611" s="12" t="str">
        <f>IFERROR(VLOOKUP(E611,'Data sheet'!$B:$C,2),"")</f>
        <v/>
      </c>
    </row>
    <row r="612" spans="6:6" x14ac:dyDescent="0.25">
      <c r="F612" s="12" t="str">
        <f>IFERROR(VLOOKUP(E612,'Data sheet'!$B:$C,2),"")</f>
        <v/>
      </c>
    </row>
    <row r="613" spans="6:6" x14ac:dyDescent="0.25">
      <c r="F613" s="12" t="str">
        <f>IFERROR(VLOOKUP(E613,'Data sheet'!$B:$C,2),"")</f>
        <v/>
      </c>
    </row>
    <row r="614" spans="6:6" x14ac:dyDescent="0.25">
      <c r="F614" s="12" t="str">
        <f>IFERROR(VLOOKUP(E614,'Data sheet'!$B:$C,2),"")</f>
        <v/>
      </c>
    </row>
    <row r="615" spans="6:6" x14ac:dyDescent="0.25">
      <c r="F615" s="12" t="str">
        <f>IFERROR(VLOOKUP(E615,'Data sheet'!$B:$C,2),"")</f>
        <v/>
      </c>
    </row>
    <row r="616" spans="6:6" x14ac:dyDescent="0.25">
      <c r="F616" s="12" t="str">
        <f>IFERROR(VLOOKUP(E616,'Data sheet'!$B:$C,2),"")</f>
        <v/>
      </c>
    </row>
    <row r="617" spans="6:6" x14ac:dyDescent="0.25">
      <c r="F617" s="12" t="str">
        <f>IFERROR(VLOOKUP(E617,'Data sheet'!$B:$C,2),"")</f>
        <v/>
      </c>
    </row>
    <row r="618" spans="6:6" x14ac:dyDescent="0.25">
      <c r="F618" s="12" t="str">
        <f>IFERROR(VLOOKUP(E618,'Data sheet'!$B:$C,2),"")</f>
        <v/>
      </c>
    </row>
    <row r="619" spans="6:6" x14ac:dyDescent="0.25">
      <c r="F619" s="12" t="str">
        <f>IFERROR(VLOOKUP(E619,'Data sheet'!$B:$C,2),"")</f>
        <v/>
      </c>
    </row>
    <row r="620" spans="6:6" x14ac:dyDescent="0.25">
      <c r="F620" s="12" t="str">
        <f>IFERROR(VLOOKUP(E620,'Data sheet'!$B:$C,2),"")</f>
        <v/>
      </c>
    </row>
    <row r="621" spans="6:6" x14ac:dyDescent="0.25">
      <c r="F621" s="12" t="str">
        <f>IFERROR(VLOOKUP(E621,'Data sheet'!$B:$C,2),"")</f>
        <v/>
      </c>
    </row>
    <row r="622" spans="6:6" x14ac:dyDescent="0.25">
      <c r="F622" s="12" t="str">
        <f>IFERROR(VLOOKUP(E622,'Data sheet'!$B:$C,2),"")</f>
        <v/>
      </c>
    </row>
    <row r="623" spans="6:6" x14ac:dyDescent="0.25">
      <c r="F623" s="12" t="str">
        <f>IFERROR(VLOOKUP(E623,'Data sheet'!$B:$C,2),"")</f>
        <v/>
      </c>
    </row>
    <row r="624" spans="6:6" x14ac:dyDescent="0.25">
      <c r="F624" s="12" t="str">
        <f>IFERROR(VLOOKUP(E624,'Data sheet'!$B:$C,2),"")</f>
        <v/>
      </c>
    </row>
    <row r="625" spans="6:6" x14ac:dyDescent="0.25">
      <c r="F625" s="12" t="str">
        <f>IFERROR(VLOOKUP(E625,'Data sheet'!$B:$C,2),"")</f>
        <v/>
      </c>
    </row>
    <row r="626" spans="6:6" x14ac:dyDescent="0.25">
      <c r="F626" s="12" t="str">
        <f>IFERROR(VLOOKUP(E626,'Data sheet'!$B:$C,2),"")</f>
        <v/>
      </c>
    </row>
    <row r="627" spans="6:6" x14ac:dyDescent="0.25">
      <c r="F627" s="12" t="str">
        <f>IFERROR(VLOOKUP(E627,'Data sheet'!$B:$C,2),"")</f>
        <v/>
      </c>
    </row>
    <row r="628" spans="6:6" x14ac:dyDescent="0.25">
      <c r="F628" s="12" t="str">
        <f>IFERROR(VLOOKUP(E628,'Data sheet'!$B:$C,2),"")</f>
        <v/>
      </c>
    </row>
    <row r="629" spans="6:6" x14ac:dyDescent="0.25">
      <c r="F629" s="12" t="str">
        <f>IFERROR(VLOOKUP(E629,'Data sheet'!$B:$C,2),"")</f>
        <v/>
      </c>
    </row>
    <row r="630" spans="6:6" x14ac:dyDescent="0.25">
      <c r="F630" s="12" t="str">
        <f>IFERROR(VLOOKUP(E630,'Data sheet'!$B:$C,2),"")</f>
        <v/>
      </c>
    </row>
    <row r="631" spans="6:6" x14ac:dyDescent="0.25">
      <c r="F631" s="12" t="str">
        <f>IFERROR(VLOOKUP(E631,'Data sheet'!$B:$C,2),"")</f>
        <v/>
      </c>
    </row>
    <row r="632" spans="6:6" x14ac:dyDescent="0.25">
      <c r="F632" s="12" t="str">
        <f>IFERROR(VLOOKUP(E632,'Data sheet'!$B:$C,2),"")</f>
        <v/>
      </c>
    </row>
    <row r="633" spans="6:6" x14ac:dyDescent="0.25">
      <c r="F633" s="12" t="str">
        <f>IFERROR(VLOOKUP(E633,'Data sheet'!$B:$C,2),"")</f>
        <v/>
      </c>
    </row>
    <row r="634" spans="6:6" x14ac:dyDescent="0.25">
      <c r="F634" s="12" t="str">
        <f>IFERROR(VLOOKUP(E634,'Data sheet'!$B:$C,2),"")</f>
        <v/>
      </c>
    </row>
    <row r="635" spans="6:6" x14ac:dyDescent="0.25">
      <c r="F635" s="12" t="str">
        <f>IFERROR(VLOOKUP(E635,'Data sheet'!$B:$C,2),"")</f>
        <v/>
      </c>
    </row>
    <row r="636" spans="6:6" x14ac:dyDescent="0.25">
      <c r="F636" s="12" t="str">
        <f>IFERROR(VLOOKUP(E636,'Data sheet'!$B:$C,2),"")</f>
        <v/>
      </c>
    </row>
    <row r="637" spans="6:6" x14ac:dyDescent="0.25">
      <c r="F637" s="12" t="str">
        <f>IFERROR(VLOOKUP(E637,'Data sheet'!$B:$C,2),"")</f>
        <v/>
      </c>
    </row>
    <row r="638" spans="6:6" x14ac:dyDescent="0.25">
      <c r="F638" s="12" t="str">
        <f>IFERROR(VLOOKUP(E638,'Data sheet'!$B:$C,2),"")</f>
        <v/>
      </c>
    </row>
    <row r="639" spans="6:6" x14ac:dyDescent="0.25">
      <c r="F639" s="12" t="str">
        <f>IFERROR(VLOOKUP(E639,'Data sheet'!$B:$C,2),"")</f>
        <v/>
      </c>
    </row>
    <row r="640" spans="6:6" x14ac:dyDescent="0.25">
      <c r="F640" s="12" t="str">
        <f>IFERROR(VLOOKUP(E640,'Data sheet'!$B:$C,2),"")</f>
        <v/>
      </c>
    </row>
    <row r="641" spans="6:6" x14ac:dyDescent="0.25">
      <c r="F641" s="12" t="str">
        <f>IFERROR(VLOOKUP(E641,'Data sheet'!$B:$C,2),"")</f>
        <v/>
      </c>
    </row>
    <row r="642" spans="6:6" x14ac:dyDescent="0.25">
      <c r="F642" s="12" t="str">
        <f>IFERROR(VLOOKUP(E642,'Data sheet'!$B:$C,2),"")</f>
        <v/>
      </c>
    </row>
    <row r="643" spans="6:6" x14ac:dyDescent="0.25">
      <c r="F643" s="12" t="str">
        <f>IFERROR(VLOOKUP(E643,'Data sheet'!$B:$C,2),"")</f>
        <v/>
      </c>
    </row>
    <row r="644" spans="6:6" x14ac:dyDescent="0.25">
      <c r="F644" s="12" t="str">
        <f>IFERROR(VLOOKUP(E644,'Data sheet'!$B:$C,2),"")</f>
        <v/>
      </c>
    </row>
    <row r="645" spans="6:6" x14ac:dyDescent="0.25">
      <c r="F645" s="12" t="str">
        <f>IFERROR(VLOOKUP(E645,'Data sheet'!$B:$C,2),"")</f>
        <v/>
      </c>
    </row>
    <row r="646" spans="6:6" x14ac:dyDescent="0.25">
      <c r="F646" s="12" t="str">
        <f>IFERROR(VLOOKUP(E646,'Data sheet'!$B:$C,2),"")</f>
        <v/>
      </c>
    </row>
    <row r="647" spans="6:6" x14ac:dyDescent="0.25">
      <c r="F647" s="12" t="str">
        <f>IFERROR(VLOOKUP(E647,'Data sheet'!$B:$C,2),"")</f>
        <v/>
      </c>
    </row>
    <row r="648" spans="6:6" x14ac:dyDescent="0.25">
      <c r="F648" s="12" t="str">
        <f>IFERROR(VLOOKUP(E648,'Data sheet'!$B:$C,2),"")</f>
        <v/>
      </c>
    </row>
    <row r="649" spans="6:6" x14ac:dyDescent="0.25">
      <c r="F649" s="12" t="str">
        <f>IFERROR(VLOOKUP(E649,'Data sheet'!$B:$C,2),"")</f>
        <v/>
      </c>
    </row>
    <row r="650" spans="6:6" x14ac:dyDescent="0.25">
      <c r="F650" s="12" t="str">
        <f>IFERROR(VLOOKUP(E650,'Data sheet'!$B:$C,2),"")</f>
        <v/>
      </c>
    </row>
    <row r="651" spans="6:6" x14ac:dyDescent="0.25">
      <c r="F651" s="12" t="str">
        <f>IFERROR(VLOOKUP(E651,'Data sheet'!$B:$C,2),"")</f>
        <v/>
      </c>
    </row>
    <row r="652" spans="6:6" x14ac:dyDescent="0.25">
      <c r="F652" s="12" t="str">
        <f>IFERROR(VLOOKUP(E652,'Data sheet'!$B:$C,2),"")</f>
        <v/>
      </c>
    </row>
    <row r="653" spans="6:6" x14ac:dyDescent="0.25">
      <c r="F653" s="12" t="str">
        <f>IFERROR(VLOOKUP(E653,'Data sheet'!$B:$C,2),"")</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sheetData>
  <customSheetViews>
    <customSheetView guid="{0459E885-E56D-4233-A463-CDACB82F3A71}" state="hidden">
      <selection activeCell="E29" sqref="E29"/>
      <pageMargins left="0.7" right="0.7" top="0.75" bottom="0.75" header="0.3" footer="0.3"/>
      <pageSetup paperSize="9" orientation="portrait" r:id="rId1"/>
    </customSheetView>
    <customSheetView guid="{D31A0C38-2BF3-428E-8B63-7EF803410846}" hiddenRows="1" state="hidden">
      <selection activeCell="E3" sqref="E3"/>
      <pageMargins left="0.7" right="0.7" top="0.75" bottom="0.75" header="0.3" footer="0.3"/>
    </customSheetView>
    <customSheetView guid="{39AFBFEA-9E3B-4D39-9A52-E97212B04C3B}">
      <selection activeCell="H25" sqref="H25"/>
      <pageMargins left="0.7" right="0.7" top="0.75" bottom="0.75" header="0.3" footer="0.3"/>
    </customSheetView>
    <customSheetView guid="{5E4851DA-2CDD-4E0B-A9F2-CF05D4206F60}">
      <selection activeCell="B37" sqref="B37"/>
      <pageMargins left="0.7" right="0.7" top="0.75" bottom="0.75" header="0.3" footer="0.3"/>
    </customSheetView>
    <customSheetView guid="{CAAB4857-130C-45CF-BDB7-F4543166DC3F}">
      <selection activeCell="B37" sqref="B37"/>
      <pageMargins left="0.7" right="0.7" top="0.75" bottom="0.75" header="0.3" footer="0.3"/>
    </customSheetView>
    <customSheetView guid="{E72D1D85-DDEA-47FF-9C0A-B8A16DD802DE}" showPageBreaks="1" state="hidden">
      <selection activeCell="E29" sqref="E29"/>
      <pageMargins left="0.7" right="0.7" top="0.75" bottom="0.75" header="0.3" footer="0.3"/>
      <pageSetup paperSize="9" orientation="portrait" r:id="rId2"/>
    </customSheetView>
  </customSheetViews>
  <mergeCells count="1">
    <mergeCell ref="I11:J12"/>
  </mergeCells>
  <dataValidations count="3">
    <dataValidation type="list" allowBlank="1" showInputMessage="1" showErrorMessage="1" sqref="D2:D680">
      <formula1>IF(C2="Status Meeting",INDIRECT(C2),(IF(C2="MISC",INDIRECT(C2),INDIRECT("ProjectPhase"))))</formula1>
    </dataValidation>
    <dataValidation type="list" allowBlank="1" showInputMessage="1" showErrorMessage="1" sqref="E2:E680">
      <formula1>IF(C2="MISC","",INDIRECT(C2))</formula1>
    </dataValidation>
    <dataValidation type="list" allowBlank="1" showInputMessage="1" showErrorMessage="1" sqref="C2:C680">
      <formula1>Activity</formula1>
    </dataValidation>
  </dataValidation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732"/>
  <sheetViews>
    <sheetView workbookViewId="0">
      <selection activeCell="A2" sqref="A2"/>
    </sheetView>
  </sheetViews>
  <sheetFormatPr defaultRowHeight="15" x14ac:dyDescent="0.25"/>
  <cols>
    <col min="1" max="1" width="10.85546875" style="12" customWidth="1"/>
    <col min="2" max="2" width="13" style="12" customWidth="1"/>
    <col min="3" max="3" width="14.28515625" style="12" customWidth="1"/>
    <col min="4" max="4" width="19.42578125" style="12" customWidth="1"/>
    <col min="5" max="5" width="53.5703125" style="12" bestFit="1" customWidth="1"/>
    <col min="6" max="6" width="15.5703125" style="12"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s="46" customFormat="1" x14ac:dyDescent="0.25">
      <c r="A2" s="23"/>
      <c r="B2" s="23" t="s">
        <v>218</v>
      </c>
      <c r="F2" s="23"/>
      <c r="G2" s="23"/>
      <c r="H2" s="23"/>
      <c r="AA2" s="24"/>
      <c r="AB2" s="24"/>
      <c r="AC2" s="75"/>
      <c r="AD2" s="76"/>
      <c r="AE2" s="77"/>
    </row>
    <row r="3" spans="1:31" x14ac:dyDescent="0.25">
      <c r="A3" s="37"/>
      <c r="B3" s="23" t="s">
        <v>218</v>
      </c>
      <c r="G3" s="23"/>
      <c r="AA3" s="13"/>
      <c r="AB3" s="13"/>
      <c r="AC3" s="16"/>
      <c r="AD3" s="16"/>
      <c r="AE3" s="9"/>
    </row>
    <row r="4" spans="1:31" x14ac:dyDescent="0.25">
      <c r="A4" s="37"/>
      <c r="B4" s="23"/>
      <c r="G4" s="23"/>
      <c r="AA4" s="13"/>
      <c r="AB4" s="13"/>
      <c r="AC4" s="16"/>
      <c r="AD4" s="16"/>
      <c r="AE4" s="9"/>
    </row>
    <row r="5" spans="1:31" x14ac:dyDescent="0.25">
      <c r="A5" s="37"/>
      <c r="B5" s="23"/>
      <c r="G5" s="23"/>
      <c r="AA5" s="13"/>
      <c r="AB5" s="13"/>
      <c r="AC5" s="16"/>
      <c r="AD5" s="16"/>
      <c r="AE5" s="9"/>
    </row>
    <row r="6" spans="1:31" x14ac:dyDescent="0.25">
      <c r="A6" s="37"/>
      <c r="B6" s="23"/>
      <c r="G6" s="23"/>
      <c r="AA6" s="13"/>
      <c r="AB6" s="13"/>
      <c r="AC6" s="16"/>
      <c r="AD6" s="16"/>
      <c r="AE6" s="9"/>
    </row>
    <row r="7" spans="1:31" x14ac:dyDescent="0.25">
      <c r="A7" s="37"/>
      <c r="B7" s="23"/>
      <c r="G7" s="23"/>
      <c r="AA7" s="13"/>
      <c r="AB7" s="13"/>
      <c r="AC7" s="16"/>
      <c r="AD7" s="16"/>
      <c r="AE7" s="9"/>
    </row>
    <row r="8" spans="1:31" x14ac:dyDescent="0.25">
      <c r="A8" s="37"/>
      <c r="B8" s="23"/>
      <c r="G8" s="23"/>
      <c r="AA8" s="13"/>
      <c r="AB8" s="13"/>
      <c r="AC8" s="16"/>
      <c r="AD8" s="16"/>
      <c r="AE8" s="9"/>
    </row>
    <row r="9" spans="1:31" x14ac:dyDescent="0.25">
      <c r="A9" s="37"/>
      <c r="B9" s="23"/>
      <c r="G9" s="23"/>
      <c r="AA9" s="13"/>
      <c r="AB9" s="13"/>
      <c r="AC9" s="16"/>
      <c r="AD9" s="16"/>
      <c r="AE9" s="9"/>
    </row>
    <row r="10" spans="1:31" x14ac:dyDescent="0.25">
      <c r="A10" s="37"/>
      <c r="B10" s="23"/>
      <c r="G10" s="23"/>
      <c r="AA10" s="13"/>
      <c r="AB10" s="13"/>
      <c r="AC10" s="16"/>
      <c r="AD10" s="16"/>
      <c r="AE10" s="9"/>
    </row>
    <row r="11" spans="1:31" x14ac:dyDescent="0.25">
      <c r="A11" s="37"/>
      <c r="B11" s="23"/>
      <c r="G11" s="23"/>
      <c r="AA11" s="13"/>
      <c r="AB11" s="13"/>
      <c r="AC11" s="16"/>
      <c r="AD11" s="16"/>
      <c r="AE11" s="9"/>
    </row>
    <row r="12" spans="1:31" x14ac:dyDescent="0.25">
      <c r="A12" s="37"/>
      <c r="B12" s="23"/>
      <c r="G12" s="23"/>
      <c r="AB12" s="13"/>
      <c r="AC12" s="16"/>
      <c r="AD12" s="16"/>
    </row>
    <row r="13" spans="1:31" x14ac:dyDescent="0.25">
      <c r="A13" s="37"/>
      <c r="B13" s="23"/>
      <c r="G13" s="23"/>
      <c r="AB13" s="13"/>
      <c r="AC13" s="16"/>
      <c r="AD13" s="16"/>
    </row>
    <row r="14" spans="1:31" x14ac:dyDescent="0.25">
      <c r="A14" s="37"/>
      <c r="B14" s="23"/>
      <c r="G14" s="23"/>
      <c r="AB14" s="13"/>
      <c r="AC14" s="16"/>
      <c r="AD14" s="16"/>
    </row>
    <row r="15" spans="1:31" x14ac:dyDescent="0.25">
      <c r="A15" s="37"/>
      <c r="B15" s="23"/>
      <c r="G15" s="23"/>
      <c r="AB15" s="13"/>
      <c r="AC15" s="16"/>
      <c r="AD15" s="16"/>
    </row>
    <row r="16" spans="1:31" x14ac:dyDescent="0.25">
      <c r="A16" s="37"/>
      <c r="B16" s="23"/>
      <c r="G16" s="23"/>
      <c r="AB16" s="13"/>
      <c r="AC16" s="13"/>
      <c r="AD16" s="8"/>
    </row>
    <row r="17" spans="1:30" x14ac:dyDescent="0.25">
      <c r="A17" s="37"/>
      <c r="B17" s="23"/>
      <c r="G17" s="23"/>
      <c r="AB17" s="13"/>
      <c r="AC17" s="13"/>
      <c r="AD17" s="8"/>
    </row>
    <row r="18" spans="1:30" x14ac:dyDescent="0.25">
      <c r="A18" s="37"/>
      <c r="B18" s="23"/>
      <c r="G18" s="23"/>
      <c r="AB18" s="13"/>
      <c r="AC18" s="13"/>
      <c r="AD18" s="8"/>
    </row>
    <row r="19" spans="1:30" x14ac:dyDescent="0.25">
      <c r="A19" s="37"/>
      <c r="B19" s="23"/>
      <c r="G19" s="23"/>
      <c r="AB19" s="13"/>
      <c r="AC19" s="13"/>
      <c r="AD19" s="8"/>
    </row>
    <row r="20" spans="1:30" x14ac:dyDescent="0.25">
      <c r="A20" s="37"/>
      <c r="B20" s="23"/>
      <c r="G20" s="23"/>
      <c r="AB20" s="13"/>
      <c r="AC20" s="13"/>
      <c r="AD20" s="8"/>
    </row>
    <row r="21" spans="1:30" x14ac:dyDescent="0.25">
      <c r="A21" s="37"/>
      <c r="B21" s="23"/>
      <c r="G21" s="23"/>
      <c r="H21" s="23"/>
      <c r="AB21" s="13"/>
      <c r="AC21" s="13"/>
      <c r="AD21" s="8"/>
    </row>
    <row r="22" spans="1:30" x14ac:dyDescent="0.25">
      <c r="A22" s="37"/>
      <c r="B22" s="23"/>
      <c r="G22" s="23"/>
      <c r="AB22" s="13"/>
      <c r="AC22" s="13"/>
      <c r="AD22" s="8"/>
    </row>
    <row r="23" spans="1:30" x14ac:dyDescent="0.25">
      <c r="A23" s="37"/>
      <c r="B23" s="23"/>
      <c r="G23" s="23"/>
      <c r="H23" s="23"/>
      <c r="AB23" s="13"/>
      <c r="AC23" s="13"/>
      <c r="AD23" s="8"/>
    </row>
    <row r="24" spans="1:30" x14ac:dyDescent="0.25">
      <c r="A24" s="37"/>
      <c r="B24" s="23"/>
      <c r="G24" s="23"/>
      <c r="H24" s="23"/>
      <c r="AB24" s="13"/>
      <c r="AC24" s="13"/>
      <c r="AD24" s="8"/>
    </row>
    <row r="25" spans="1:30" x14ac:dyDescent="0.25">
      <c r="A25" s="37"/>
      <c r="B25" s="23"/>
      <c r="C25" s="23"/>
      <c r="G25" s="23"/>
      <c r="H25" s="23"/>
      <c r="AB25" s="13"/>
      <c r="AC25" s="13"/>
      <c r="AD25" s="8"/>
    </row>
    <row r="26" spans="1:30" x14ac:dyDescent="0.25">
      <c r="A26" s="37"/>
      <c r="B26" s="23"/>
      <c r="C26" s="23"/>
      <c r="G26" s="23"/>
      <c r="AB26" s="13"/>
      <c r="AC26" s="13"/>
      <c r="AD26" s="8"/>
    </row>
    <row r="27" spans="1:30" x14ac:dyDescent="0.25">
      <c r="A27" s="37"/>
      <c r="B27" s="23"/>
      <c r="G27" s="23"/>
      <c r="H27" s="23"/>
      <c r="AB27" s="13"/>
      <c r="AC27" s="13"/>
      <c r="AD27" s="8"/>
    </row>
    <row r="28" spans="1:30" x14ac:dyDescent="0.25">
      <c r="A28" s="37"/>
      <c r="B28" s="23"/>
      <c r="G28" s="23"/>
      <c r="H28" s="23"/>
      <c r="AB28" s="13"/>
      <c r="AC28" s="13"/>
      <c r="AD28" s="8"/>
    </row>
    <row r="29" spans="1:30" x14ac:dyDescent="0.25">
      <c r="A29" s="37"/>
      <c r="B29" s="23"/>
      <c r="G29" s="23"/>
      <c r="H29" s="23"/>
      <c r="AB29" s="13"/>
      <c r="AC29" s="13"/>
      <c r="AD29" s="8"/>
    </row>
    <row r="30" spans="1:30" x14ac:dyDescent="0.25">
      <c r="A30" s="37"/>
      <c r="B30" s="23"/>
      <c r="G30" s="23"/>
      <c r="H30" s="23"/>
      <c r="AB30" s="13"/>
      <c r="AC30" s="13"/>
      <c r="AD30" s="8"/>
    </row>
    <row r="31" spans="1:30" x14ac:dyDescent="0.25">
      <c r="A31" s="37"/>
      <c r="B31" s="23"/>
      <c r="G31" s="23"/>
      <c r="AB31" s="13"/>
      <c r="AC31" s="13"/>
      <c r="AD31" s="8"/>
    </row>
    <row r="32" spans="1:30" x14ac:dyDescent="0.25">
      <c r="A32" s="37"/>
      <c r="B32" s="23"/>
      <c r="G32" s="23"/>
      <c r="AB32" s="13"/>
      <c r="AC32" s="13"/>
      <c r="AD32" s="8"/>
    </row>
    <row r="33" spans="1:30" x14ac:dyDescent="0.25">
      <c r="A33" s="37"/>
      <c r="B33" s="23"/>
      <c r="G33" s="23"/>
      <c r="AB33" s="13"/>
      <c r="AC33" s="13"/>
      <c r="AD33" s="8"/>
    </row>
    <row r="34" spans="1:30" x14ac:dyDescent="0.25">
      <c r="A34" s="37"/>
      <c r="B34" s="23"/>
      <c r="G34" s="23"/>
      <c r="AB34" s="13"/>
      <c r="AC34" s="13"/>
      <c r="AD34" s="8"/>
    </row>
    <row r="35" spans="1:30" x14ac:dyDescent="0.25">
      <c r="A35" s="37"/>
      <c r="B35" s="23"/>
      <c r="G35" s="23"/>
      <c r="AB35" s="13"/>
      <c r="AC35" s="13"/>
      <c r="AD35" s="8"/>
    </row>
    <row r="36" spans="1:30" x14ac:dyDescent="0.25">
      <c r="A36" s="37"/>
      <c r="B36" s="23"/>
      <c r="G36" s="23"/>
      <c r="AB36" s="13"/>
      <c r="AC36" s="13"/>
      <c r="AD36" s="8"/>
    </row>
    <row r="37" spans="1:30" x14ac:dyDescent="0.25">
      <c r="A37" s="37"/>
      <c r="B37" s="23"/>
      <c r="G37" s="23"/>
      <c r="AB37" s="13"/>
      <c r="AC37" s="13"/>
      <c r="AD37" s="8"/>
    </row>
    <row r="38" spans="1:30" x14ac:dyDescent="0.25">
      <c r="A38" s="37"/>
      <c r="B38" s="23"/>
      <c r="G38" s="23"/>
      <c r="AB38" s="14"/>
      <c r="AC38" s="13"/>
      <c r="AD38" s="8"/>
    </row>
    <row r="39" spans="1:30" x14ac:dyDescent="0.25">
      <c r="A39" s="37"/>
      <c r="B39" s="23"/>
      <c r="G39" s="23"/>
      <c r="AB39" s="14"/>
      <c r="AC39" s="13"/>
      <c r="AD39" s="8"/>
    </row>
    <row r="40" spans="1:30" x14ac:dyDescent="0.25">
      <c r="A40" s="37"/>
      <c r="B40" s="23"/>
      <c r="G40" s="23"/>
      <c r="AB40" s="15"/>
      <c r="AC40" s="13"/>
      <c r="AD40" s="8"/>
    </row>
    <row r="41" spans="1:30" x14ac:dyDescent="0.25">
      <c r="A41" s="30"/>
      <c r="B41" s="23"/>
      <c r="G41" s="23"/>
      <c r="AB41" s="14"/>
      <c r="AC41" s="13"/>
      <c r="AD41" s="8"/>
    </row>
    <row r="42" spans="1:30" x14ac:dyDescent="0.25">
      <c r="A42" s="30"/>
      <c r="B42" s="23"/>
      <c r="G42" s="23"/>
      <c r="AB42" s="15"/>
      <c r="AC42" s="13"/>
      <c r="AD42" s="8"/>
    </row>
    <row r="43" spans="1:30" x14ac:dyDescent="0.25">
      <c r="A43" s="30"/>
      <c r="B43" s="23"/>
      <c r="G43" s="23"/>
      <c r="AB43" s="14"/>
      <c r="AC43" s="13"/>
      <c r="AD43" s="8"/>
    </row>
    <row r="44" spans="1:30" x14ac:dyDescent="0.25">
      <c r="A44" s="30"/>
      <c r="B44" s="23"/>
      <c r="G44" s="23"/>
      <c r="AB44" s="14"/>
      <c r="AC44" s="13"/>
      <c r="AD44" s="8"/>
    </row>
    <row r="45" spans="1:30" x14ac:dyDescent="0.25">
      <c r="A45" s="30"/>
      <c r="B45" s="23"/>
      <c r="G45" s="23"/>
      <c r="AB45" s="1"/>
      <c r="AC45" s="13"/>
      <c r="AD45" s="8"/>
    </row>
    <row r="46" spans="1:30" x14ac:dyDescent="0.25">
      <c r="A46" s="30"/>
      <c r="B46" s="23"/>
      <c r="G46" s="23"/>
      <c r="AB46" s="6"/>
      <c r="AC46" s="13"/>
      <c r="AD46" s="8"/>
    </row>
    <row r="47" spans="1:30" x14ac:dyDescent="0.25">
      <c r="A47" s="30"/>
      <c r="B47" s="23"/>
      <c r="G47" s="23"/>
      <c r="AB47" s="6"/>
      <c r="AC47" s="13"/>
      <c r="AD47" s="8"/>
    </row>
    <row r="48" spans="1:30" x14ac:dyDescent="0.25">
      <c r="A48" s="30"/>
      <c r="B48" s="23"/>
      <c r="G48" s="23"/>
      <c r="AB48" s="13"/>
      <c r="AC48" s="13"/>
      <c r="AD48" s="8"/>
    </row>
    <row r="49" spans="1:30" x14ac:dyDescent="0.25">
      <c r="A49" s="30"/>
      <c r="B49" s="23"/>
      <c r="G49" s="23"/>
      <c r="AB49" s="13"/>
      <c r="AC49" s="13"/>
      <c r="AD49" s="8"/>
    </row>
    <row r="50" spans="1:30" x14ac:dyDescent="0.25">
      <c r="AB50" s="13"/>
      <c r="AC50" s="13"/>
      <c r="AD50" s="8"/>
    </row>
    <row r="51" spans="1:30" x14ac:dyDescent="0.25">
      <c r="AB51" s="13"/>
      <c r="AC51" s="13"/>
      <c r="AD51" s="8"/>
    </row>
    <row r="90" spans="6:6" x14ac:dyDescent="0.25">
      <c r="F90" s="12" t="str">
        <f>IFERROR(VLOOKUP(E90,'Data sheet'!$B:$C,2,0),"")</f>
        <v/>
      </c>
    </row>
    <row r="91" spans="6:6" x14ac:dyDescent="0.25">
      <c r="F91" s="12" t="str">
        <f>IFERROR(VLOOKUP(E91,'Data sheet'!$B:$C,2,0),"")</f>
        <v/>
      </c>
    </row>
    <row r="92" spans="6:6" x14ac:dyDescent="0.25">
      <c r="F92" s="12" t="str">
        <f>IFERROR(VLOOKUP(E92,'Data sheet'!$B:$C,2,0),"")</f>
        <v/>
      </c>
    </row>
    <row r="93" spans="6:6" x14ac:dyDescent="0.25">
      <c r="F93" s="12" t="str">
        <f>IFERROR(VLOOKUP(E93,'Data sheet'!$B:$C,2,0),"")</f>
        <v/>
      </c>
    </row>
    <row r="94" spans="6:6" x14ac:dyDescent="0.25">
      <c r="F94" s="12" t="str">
        <f>IFERROR(VLOOKUP(E94,'Data sheet'!$B:$C,2,0),"")</f>
        <v/>
      </c>
    </row>
    <row r="95" spans="6:6" x14ac:dyDescent="0.25">
      <c r="F95" s="12" t="str">
        <f>IFERROR(VLOOKUP(E95,'Data sheet'!$B:$C,2,0),"")</f>
        <v/>
      </c>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sheetData>
  <customSheetViews>
    <customSheetView guid="{0459E885-E56D-4233-A463-CDACB82F3A71}">
      <selection activeCell="A2" sqref="A2"/>
      <pageMargins left="0.7" right="0.7" top="0.75" bottom="0.75" header="0.3" footer="0.3"/>
      <pageSetup paperSize="9" orientation="portrait" r:id="rId1"/>
    </customSheetView>
    <customSheetView guid="{D31A0C38-2BF3-428E-8B63-7EF803410846}" hiddenRows="1" state="hidden">
      <selection activeCell="B4" sqref="B4:B19"/>
      <pageMargins left="0.7" right="0.7" top="0.75" bottom="0.75" header="0.3" footer="0.3"/>
    </customSheetView>
    <customSheetView guid="{39AFBFEA-9E3B-4D39-9A52-E97212B04C3B}">
      <selection activeCell="E24" sqref="E24"/>
      <pageMargins left="0.7" right="0.7" top="0.75" bottom="0.75" header="0.3" footer="0.3"/>
    </customSheetView>
    <customSheetView guid="{5E4851DA-2CDD-4E0B-A9F2-CF05D4206F60}">
      <selection activeCell="A20" sqref="A20"/>
      <pageMargins left="0.7" right="0.7" top="0.75" bottom="0.75" header="0.3" footer="0.3"/>
    </customSheetView>
    <customSheetView guid="{CAAB4857-130C-45CF-BDB7-F4543166DC3F}">
      <selection activeCell="A2" sqref="A2"/>
      <pageMargins left="0.7" right="0.7" top="0.75" bottom="0.75" header="0.3" footer="0.3"/>
    </customSheetView>
    <customSheetView guid="{E72D1D85-DDEA-47FF-9C0A-B8A16DD802DE}" showPageBreaks="1">
      <selection activeCell="A2" sqref="A2"/>
      <pageMargins left="0.7" right="0.7" top="0.75" bottom="0.75" header="0.3" footer="0.3"/>
      <pageSetup paperSize="9" orientation="portrait" r:id="rId2"/>
    </customSheetView>
  </customSheetViews>
  <dataValidations count="5">
    <dataValidation type="list" allowBlank="1" showInputMessage="1" showErrorMessage="1" sqref="E31 E9:E11 E33:E672 E18:E29 E13:E16">
      <formula1>IF(C9="MISC","",INDIRECT(C9))</formula1>
    </dataValidation>
    <dataValidation type="list" allowBlank="1" showInputMessage="1" showErrorMessage="1" sqref="E30 E32">
      <formula1>IF(C30="MISC","",IF(C30="Org Meeting","Org Meeting",INDIRECT(C30)))</formula1>
    </dataValidation>
    <dataValidation type="list" showInputMessage="1" showErrorMessage="1" sqref="E12 E4:E8 E2">
      <formula1>IF(C2="MISC","",INDIRECT(C2))</formula1>
    </dataValidation>
    <dataValidation type="list" allowBlank="1" showInputMessage="1" showErrorMessage="1" sqref="D2 D18:D672 D4:D16">
      <formula1>IF(C2="Status Meeting",INDIRECT(C2),(IF(C2="MISC",INDIRECT(C2),INDIRECT("ProjectPhase"))))</formula1>
    </dataValidation>
    <dataValidation type="list" allowBlank="1" showInputMessage="1" showErrorMessage="1" sqref="C2 C18:C672 C4:C16">
      <formula1>Activity</formula1>
    </dataValidation>
  </dataValidation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736"/>
  <sheetViews>
    <sheetView tabSelected="1" zoomScaleNormal="100" workbookViewId="0">
      <selection activeCell="A15" sqref="A15"/>
    </sheetView>
  </sheetViews>
  <sheetFormatPr defaultRowHeight="15" x14ac:dyDescent="0.25"/>
  <cols>
    <col min="1" max="1" width="11.7109375" style="12" customWidth="1"/>
    <col min="2" max="2" width="13" style="12" customWidth="1"/>
    <col min="3" max="3" width="14.28515625" style="12" customWidth="1"/>
    <col min="4" max="4" width="21.85546875" style="12" customWidth="1"/>
    <col min="5" max="5" width="46.7109375" style="12" customWidth="1"/>
    <col min="6" max="6" width="15.5703125" style="12" customWidth="1"/>
    <col min="7" max="7" width="17.5703125" style="12" customWidth="1"/>
    <col min="8" max="8" width="46.4257812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v>42339</v>
      </c>
      <c r="B2" s="12" t="s">
        <v>211</v>
      </c>
      <c r="C2" s="12" t="s">
        <v>8</v>
      </c>
      <c r="D2" s="12" t="s">
        <v>70</v>
      </c>
      <c r="E2" s="12" t="s">
        <v>263</v>
      </c>
      <c r="F2" s="12" t="s">
        <v>66</v>
      </c>
      <c r="G2" s="12">
        <v>8</v>
      </c>
      <c r="H2" s="12" t="s">
        <v>264</v>
      </c>
    </row>
    <row r="3" spans="1:31" x14ac:dyDescent="0.25">
      <c r="A3" s="37">
        <v>42340</v>
      </c>
      <c r="B3" s="23" t="s">
        <v>211</v>
      </c>
      <c r="C3" s="12" t="s">
        <v>14</v>
      </c>
      <c r="D3" s="12" t="s">
        <v>11</v>
      </c>
      <c r="E3" s="23" t="s">
        <v>241</v>
      </c>
      <c r="F3" s="8" t="s">
        <v>66</v>
      </c>
      <c r="G3" s="23">
        <v>2</v>
      </c>
      <c r="H3" s="23" t="s">
        <v>242</v>
      </c>
      <c r="Z3" s="13"/>
      <c r="AA3" s="13"/>
      <c r="AB3" s="16"/>
      <c r="AC3" s="16"/>
      <c r="AD3" s="9"/>
    </row>
    <row r="4" spans="1:31" x14ac:dyDescent="0.25">
      <c r="A4" s="37">
        <v>42340</v>
      </c>
      <c r="B4" s="12" t="s">
        <v>211</v>
      </c>
      <c r="C4" s="12" t="s">
        <v>8</v>
      </c>
      <c r="D4" s="23" t="s">
        <v>78</v>
      </c>
      <c r="E4" s="23" t="s">
        <v>135</v>
      </c>
      <c r="F4" s="23" t="s">
        <v>63</v>
      </c>
      <c r="G4" s="12">
        <v>1</v>
      </c>
      <c r="AA4" s="13" t="s">
        <v>9</v>
      </c>
      <c r="AB4" s="13" t="s">
        <v>16</v>
      </c>
      <c r="AC4" s="16" t="s">
        <v>63</v>
      </c>
      <c r="AD4" s="16" t="s">
        <v>70</v>
      </c>
      <c r="AE4" s="9" t="s">
        <v>59</v>
      </c>
    </row>
    <row r="5" spans="1:31" x14ac:dyDescent="0.25">
      <c r="A5" s="37">
        <v>42340</v>
      </c>
      <c r="B5" s="23" t="s">
        <v>211</v>
      </c>
      <c r="C5" s="23" t="s">
        <v>8</v>
      </c>
      <c r="D5" s="23" t="s">
        <v>78</v>
      </c>
      <c r="E5" s="23" t="s">
        <v>186</v>
      </c>
      <c r="F5" s="23" t="s">
        <v>63</v>
      </c>
      <c r="G5" s="23">
        <v>1</v>
      </c>
      <c r="H5" s="23"/>
      <c r="AA5" s="13" t="s">
        <v>8</v>
      </c>
      <c r="AB5" s="13" t="s">
        <v>15</v>
      </c>
      <c r="AC5" s="16" t="s">
        <v>63</v>
      </c>
      <c r="AD5" s="16" t="s">
        <v>69</v>
      </c>
      <c r="AE5" s="9" t="s">
        <v>58</v>
      </c>
    </row>
    <row r="6" spans="1:31" x14ac:dyDescent="0.25">
      <c r="A6" s="37">
        <v>42340</v>
      </c>
      <c r="B6" s="23" t="s">
        <v>211</v>
      </c>
      <c r="C6" s="23" t="s">
        <v>8</v>
      </c>
      <c r="D6" s="23" t="s">
        <v>76</v>
      </c>
      <c r="E6" s="12" t="s">
        <v>265</v>
      </c>
      <c r="F6" s="23" t="s">
        <v>66</v>
      </c>
      <c r="G6" s="23">
        <v>4</v>
      </c>
      <c r="H6" s="23" t="s">
        <v>266</v>
      </c>
      <c r="AB6" s="13" t="s">
        <v>30</v>
      </c>
      <c r="AC6" s="13" t="s">
        <v>64</v>
      </c>
      <c r="AD6" s="8"/>
    </row>
    <row r="7" spans="1:31" x14ac:dyDescent="0.25">
      <c r="A7" s="37">
        <v>42341</v>
      </c>
      <c r="B7" s="23" t="s">
        <v>211</v>
      </c>
      <c r="C7" s="23" t="s">
        <v>14</v>
      </c>
      <c r="D7" s="23" t="s">
        <v>61</v>
      </c>
      <c r="E7" s="23" t="s">
        <v>243</v>
      </c>
      <c r="F7" s="37" t="s">
        <v>66</v>
      </c>
      <c r="G7" s="23">
        <v>1</v>
      </c>
      <c r="H7" s="37"/>
      <c r="AA7" s="13" t="s">
        <v>12</v>
      </c>
      <c r="AB7" s="13" t="s">
        <v>18</v>
      </c>
      <c r="AC7" s="16" t="s">
        <v>63</v>
      </c>
      <c r="AD7" s="16" t="s">
        <v>72</v>
      </c>
      <c r="AE7" s="9" t="s">
        <v>61</v>
      </c>
    </row>
    <row r="8" spans="1:31" x14ac:dyDescent="0.25">
      <c r="A8" s="37">
        <v>42341</v>
      </c>
      <c r="B8" s="23" t="s">
        <v>211</v>
      </c>
      <c r="C8" s="23" t="s">
        <v>8</v>
      </c>
      <c r="D8" s="23" t="s">
        <v>76</v>
      </c>
      <c r="E8" s="23" t="s">
        <v>265</v>
      </c>
      <c r="F8" s="23" t="s">
        <v>66</v>
      </c>
      <c r="G8" s="23">
        <v>4</v>
      </c>
      <c r="H8" s="23" t="s">
        <v>266</v>
      </c>
      <c r="AB8" s="13" t="s">
        <v>22</v>
      </c>
      <c r="AC8" s="16" t="s">
        <v>64</v>
      </c>
      <c r="AD8" s="16" t="s">
        <v>76</v>
      </c>
    </row>
    <row r="9" spans="1:31" x14ac:dyDescent="0.25">
      <c r="A9" s="37">
        <v>42342</v>
      </c>
      <c r="B9" s="23" t="s">
        <v>211</v>
      </c>
      <c r="C9" s="23" t="s">
        <v>8</v>
      </c>
      <c r="D9" s="23" t="s">
        <v>267</v>
      </c>
      <c r="E9" s="23" t="s">
        <v>268</v>
      </c>
      <c r="F9" s="23" t="s">
        <v>66</v>
      </c>
      <c r="G9" s="23">
        <v>3</v>
      </c>
      <c r="H9" s="23" t="s">
        <v>269</v>
      </c>
      <c r="AB9" s="13" t="s">
        <v>22</v>
      </c>
      <c r="AC9" s="16" t="s">
        <v>64</v>
      </c>
      <c r="AD9" s="16" t="s">
        <v>76</v>
      </c>
    </row>
    <row r="10" spans="1:31" x14ac:dyDescent="0.25">
      <c r="A10" s="37">
        <v>42345</v>
      </c>
      <c r="B10" s="23" t="s">
        <v>211</v>
      </c>
      <c r="C10" s="23" t="s">
        <v>14</v>
      </c>
      <c r="D10" s="23" t="s">
        <v>61</v>
      </c>
      <c r="E10" s="23" t="s">
        <v>270</v>
      </c>
      <c r="F10" s="23" t="s">
        <v>66</v>
      </c>
      <c r="G10" s="23">
        <v>2</v>
      </c>
      <c r="H10" s="23" t="s">
        <v>271</v>
      </c>
      <c r="AA10" s="13" t="s">
        <v>9</v>
      </c>
      <c r="AB10" s="13" t="s">
        <v>16</v>
      </c>
      <c r="AC10" s="16" t="s">
        <v>63</v>
      </c>
      <c r="AD10" s="16" t="s">
        <v>70</v>
      </c>
      <c r="AE10" s="9" t="s">
        <v>59</v>
      </c>
    </row>
    <row r="11" spans="1:31" x14ac:dyDescent="0.25">
      <c r="A11" s="37">
        <v>42345</v>
      </c>
      <c r="B11" s="23" t="s">
        <v>211</v>
      </c>
      <c r="C11" s="23" t="s">
        <v>13</v>
      </c>
      <c r="D11" s="23" t="s">
        <v>13</v>
      </c>
      <c r="E11" s="62" t="s">
        <v>216</v>
      </c>
      <c r="F11" s="62" t="s">
        <v>63</v>
      </c>
      <c r="G11" s="23">
        <v>1</v>
      </c>
      <c r="H11" s="23" t="s">
        <v>216</v>
      </c>
      <c r="AA11" s="13" t="s">
        <v>14</v>
      </c>
      <c r="AB11" s="13" t="s">
        <v>20</v>
      </c>
      <c r="AC11" s="16" t="s">
        <v>65</v>
      </c>
      <c r="AD11" s="16" t="s">
        <v>74</v>
      </c>
      <c r="AE11" s="9" t="s">
        <v>62</v>
      </c>
    </row>
    <row r="12" spans="1:31" x14ac:dyDescent="0.25">
      <c r="A12" s="37">
        <v>42345</v>
      </c>
      <c r="B12" s="23" t="s">
        <v>211</v>
      </c>
      <c r="C12" s="23" t="s">
        <v>14</v>
      </c>
      <c r="D12" s="23" t="s">
        <v>62</v>
      </c>
      <c r="E12" s="23" t="s">
        <v>272</v>
      </c>
      <c r="F12" s="62" t="s">
        <v>66</v>
      </c>
      <c r="G12" s="23">
        <v>2</v>
      </c>
      <c r="H12" s="23"/>
      <c r="AB12" s="13" t="s">
        <v>21</v>
      </c>
      <c r="AC12" s="16" t="s">
        <v>64</v>
      </c>
      <c r="AD12" s="16" t="s">
        <v>75</v>
      </c>
    </row>
    <row r="13" spans="1:31" x14ac:dyDescent="0.25">
      <c r="A13" s="37">
        <v>42345</v>
      </c>
      <c r="B13" s="23" t="s">
        <v>211</v>
      </c>
      <c r="C13" s="23" t="s">
        <v>8</v>
      </c>
      <c r="D13" s="23" t="s">
        <v>76</v>
      </c>
      <c r="E13" s="23" t="s">
        <v>131</v>
      </c>
      <c r="F13" s="62" t="s">
        <v>66</v>
      </c>
      <c r="G13" s="23">
        <v>1</v>
      </c>
      <c r="H13" s="23" t="s">
        <v>273</v>
      </c>
      <c r="AB13" s="13" t="s">
        <v>30</v>
      </c>
      <c r="AC13" s="13" t="s">
        <v>64</v>
      </c>
      <c r="AD13" s="8"/>
    </row>
    <row r="14" spans="1:31" x14ac:dyDescent="0.25">
      <c r="A14" s="37"/>
      <c r="B14" s="23"/>
      <c r="C14" s="23"/>
      <c r="E14" s="23"/>
      <c r="F14" s="23"/>
      <c r="G14" s="23"/>
      <c r="H14" s="23"/>
    </row>
    <row r="15" spans="1:31" x14ac:dyDescent="0.25">
      <c r="A15" s="37" t="s">
        <v>274</v>
      </c>
      <c r="B15" s="23"/>
      <c r="C15" s="23"/>
      <c r="E15" s="23"/>
      <c r="F15" s="23"/>
      <c r="G15" s="23"/>
      <c r="H15" s="23"/>
    </row>
    <row r="16" spans="1:31" x14ac:dyDescent="0.25">
      <c r="A16" s="37"/>
      <c r="B16" s="23"/>
      <c r="C16" s="23"/>
      <c r="E16" s="23"/>
      <c r="F16" s="23"/>
      <c r="G16" s="23"/>
      <c r="H16" s="23"/>
    </row>
    <row r="17" spans="1:30" x14ac:dyDescent="0.25">
      <c r="A17" s="78"/>
      <c r="B17" s="23"/>
      <c r="C17" s="23"/>
      <c r="E17" s="23"/>
      <c r="F17" s="23"/>
      <c r="G17" s="23"/>
    </row>
    <row r="18" spans="1:30" x14ac:dyDescent="0.25">
      <c r="A18" s="78"/>
      <c r="B18" s="23"/>
      <c r="C18" s="23"/>
      <c r="E18" s="23"/>
      <c r="F18" s="23"/>
      <c r="G18" s="23"/>
    </row>
    <row r="19" spans="1:30" x14ac:dyDescent="0.25">
      <c r="A19" s="78"/>
      <c r="B19" s="23"/>
      <c r="C19" s="23"/>
      <c r="E19" s="23"/>
      <c r="F19" s="23"/>
      <c r="G19" s="23"/>
      <c r="H19" s="23"/>
      <c r="AB19" s="13" t="s">
        <v>30</v>
      </c>
      <c r="AC19" s="13" t="s">
        <v>64</v>
      </c>
      <c r="AD19" s="8"/>
    </row>
    <row r="20" spans="1:30" x14ac:dyDescent="0.25">
      <c r="A20" s="78"/>
      <c r="B20" s="23"/>
      <c r="C20" s="23"/>
      <c r="F20" s="23"/>
      <c r="G20" s="23"/>
      <c r="H20" s="23"/>
      <c r="AB20" s="13"/>
      <c r="AC20" s="13"/>
      <c r="AD20" s="8"/>
    </row>
    <row r="21" spans="1:30" x14ac:dyDescent="0.25">
      <c r="A21" s="78"/>
      <c r="B21" s="23"/>
      <c r="C21" s="23"/>
      <c r="F21" s="23"/>
      <c r="G21" s="23"/>
    </row>
    <row r="22" spans="1:30" x14ac:dyDescent="0.25">
      <c r="A22" s="37"/>
      <c r="B22" s="23"/>
      <c r="C22" s="23"/>
      <c r="F22" s="23"/>
      <c r="G22" s="23"/>
      <c r="H22" s="23"/>
      <c r="AB22" s="13" t="s">
        <v>30</v>
      </c>
      <c r="AC22" s="13" t="s">
        <v>64</v>
      </c>
      <c r="AD22" s="8"/>
    </row>
    <row r="23" spans="1:30" x14ac:dyDescent="0.25">
      <c r="A23" s="37"/>
      <c r="B23" s="23"/>
      <c r="C23" s="23"/>
      <c r="D23" s="23"/>
      <c r="F23" s="23"/>
      <c r="G23" s="23"/>
      <c r="H23" s="23"/>
      <c r="AB23" s="13" t="s">
        <v>31</v>
      </c>
      <c r="AC23" s="13" t="s">
        <v>63</v>
      </c>
      <c r="AD23" s="8"/>
    </row>
    <row r="24" spans="1:30" x14ac:dyDescent="0.25">
      <c r="A24" s="37"/>
      <c r="B24" s="23"/>
      <c r="C24" s="23"/>
      <c r="D24" s="23"/>
      <c r="E24" s="23"/>
      <c r="F24" s="23"/>
      <c r="G24" s="23"/>
      <c r="H24" s="23"/>
      <c r="AB24" s="13" t="s">
        <v>32</v>
      </c>
      <c r="AC24" s="13" t="s">
        <v>64</v>
      </c>
      <c r="AD24" s="8"/>
    </row>
    <row r="25" spans="1:30" x14ac:dyDescent="0.25">
      <c r="A25" s="37"/>
      <c r="B25" s="23"/>
      <c r="C25" s="23"/>
      <c r="D25" s="23"/>
      <c r="E25" s="14"/>
      <c r="F25" s="23"/>
      <c r="G25" s="23"/>
      <c r="H25" s="23"/>
      <c r="AB25" s="13" t="s">
        <v>33</v>
      </c>
      <c r="AC25" s="13" t="s">
        <v>63</v>
      </c>
      <c r="AD25" s="8"/>
    </row>
    <row r="26" spans="1:30" x14ac:dyDescent="0.25">
      <c r="A26" s="37"/>
      <c r="B26" s="23"/>
      <c r="C26" s="23"/>
      <c r="D26" s="23"/>
      <c r="F26" s="23"/>
      <c r="G26" s="23"/>
      <c r="H26" s="23"/>
      <c r="AB26" s="13"/>
      <c r="AC26" s="13"/>
      <c r="AD26" s="8"/>
    </row>
    <row r="27" spans="1:30" x14ac:dyDescent="0.25">
      <c r="A27" s="37"/>
      <c r="B27" s="23"/>
      <c r="C27" s="23"/>
      <c r="D27" s="23"/>
      <c r="E27" s="23"/>
      <c r="F27" s="23"/>
      <c r="G27" s="23"/>
      <c r="H27" s="23"/>
      <c r="AB27" s="13"/>
      <c r="AC27" s="13"/>
      <c r="AD27" s="8"/>
    </row>
    <row r="28" spans="1:30" x14ac:dyDescent="0.25">
      <c r="A28" s="37"/>
      <c r="B28" s="23"/>
      <c r="C28" s="23"/>
      <c r="D28" s="23"/>
      <c r="E28" s="23"/>
      <c r="F28" s="23"/>
      <c r="G28" s="23"/>
      <c r="H28" s="23"/>
      <c r="AB28" s="13" t="s">
        <v>30</v>
      </c>
      <c r="AC28" s="13" t="s">
        <v>64</v>
      </c>
      <c r="AD28" s="8"/>
    </row>
    <row r="29" spans="1:30" x14ac:dyDescent="0.25">
      <c r="A29" s="37"/>
      <c r="B29" s="23"/>
      <c r="C29" s="23"/>
      <c r="D29" s="23"/>
      <c r="E29" s="23"/>
      <c r="F29" s="23"/>
      <c r="G29" s="23"/>
      <c r="H29" s="23"/>
      <c r="AB29" s="13"/>
      <c r="AC29" s="13"/>
      <c r="AD29" s="8"/>
    </row>
    <row r="30" spans="1:30" x14ac:dyDescent="0.25">
      <c r="A30" s="30"/>
      <c r="B30" s="23"/>
      <c r="C30" s="23"/>
      <c r="D30" s="23"/>
      <c r="E30" s="23"/>
      <c r="F30" s="23"/>
      <c r="G30" s="23"/>
    </row>
    <row r="31" spans="1:30" x14ac:dyDescent="0.25">
      <c r="A31" s="37"/>
      <c r="B31" s="23"/>
      <c r="C31" s="23"/>
      <c r="D31" s="23"/>
      <c r="E31" s="23"/>
      <c r="F31" s="23"/>
      <c r="G31" s="23"/>
      <c r="H31" s="23"/>
      <c r="AB31" s="8"/>
      <c r="AC31" s="8"/>
      <c r="AD31" s="8"/>
    </row>
    <row r="32" spans="1:30" x14ac:dyDescent="0.25">
      <c r="A32" s="37"/>
      <c r="B32" s="23"/>
      <c r="C32" s="23"/>
      <c r="D32" s="23"/>
      <c r="E32" s="23"/>
      <c r="F32" s="23"/>
      <c r="G32" s="23"/>
    </row>
    <row r="33" spans="1:30" x14ac:dyDescent="0.25">
      <c r="A33" s="37"/>
      <c r="B33" s="23"/>
      <c r="C33" s="23"/>
      <c r="E33" s="23"/>
      <c r="F33" s="23"/>
      <c r="G33" s="23"/>
      <c r="H33" s="23"/>
      <c r="AB33" s="13" t="s">
        <v>37</v>
      </c>
      <c r="AC33" s="13" t="s">
        <v>66</v>
      </c>
      <c r="AD33" s="8"/>
    </row>
    <row r="34" spans="1:30" x14ac:dyDescent="0.25">
      <c r="A34" s="37"/>
      <c r="B34" s="23"/>
      <c r="C34" s="23"/>
      <c r="F34" s="23"/>
      <c r="G34" s="23"/>
      <c r="H34" s="23"/>
      <c r="AB34" s="13" t="s">
        <v>38</v>
      </c>
      <c r="AC34" s="13" t="s">
        <v>67</v>
      </c>
      <c r="AD34" s="8"/>
    </row>
    <row r="35" spans="1:30" x14ac:dyDescent="0.25">
      <c r="A35" s="37"/>
      <c r="B35" s="23"/>
      <c r="C35" s="23"/>
      <c r="F35" s="23"/>
      <c r="G35" s="23"/>
      <c r="H35" s="23"/>
      <c r="AB35" s="13" t="s">
        <v>39</v>
      </c>
      <c r="AC35" s="13" t="s">
        <v>63</v>
      </c>
      <c r="AD35" s="8"/>
    </row>
    <row r="36" spans="1:30" x14ac:dyDescent="0.25">
      <c r="A36" s="37"/>
      <c r="B36" s="23"/>
      <c r="C36" s="23"/>
      <c r="F36" s="23"/>
      <c r="G36" s="23"/>
      <c r="H36" s="23"/>
      <c r="AB36" s="13" t="s">
        <v>40</v>
      </c>
      <c r="AC36" s="13" t="s">
        <v>64</v>
      </c>
      <c r="AD36" s="8"/>
    </row>
    <row r="37" spans="1:30" x14ac:dyDescent="0.25">
      <c r="A37" s="37"/>
      <c r="B37" s="23"/>
      <c r="C37" s="23"/>
      <c r="E37" s="23"/>
      <c r="F37" s="23"/>
      <c r="G37" s="23"/>
      <c r="H37" s="23"/>
      <c r="AB37" s="13" t="s">
        <v>41</v>
      </c>
      <c r="AC37" s="13" t="s">
        <v>67</v>
      </c>
      <c r="AD37" s="8"/>
    </row>
    <row r="38" spans="1:30" x14ac:dyDescent="0.25">
      <c r="A38" s="37"/>
      <c r="B38" s="23"/>
      <c r="C38" s="23"/>
      <c r="E38" s="23"/>
      <c r="F38" s="23"/>
      <c r="G38" s="23"/>
      <c r="H38" s="23"/>
      <c r="AB38" s="13" t="s">
        <v>42</v>
      </c>
      <c r="AC38" s="13" t="s">
        <v>66</v>
      </c>
      <c r="AD38" s="8"/>
    </row>
    <row r="39" spans="1:30" x14ac:dyDescent="0.25">
      <c r="A39" s="37"/>
      <c r="B39" s="23"/>
      <c r="C39" s="23"/>
      <c r="E39" s="23"/>
      <c r="F39" s="23"/>
      <c r="G39" s="23"/>
      <c r="H39" s="23"/>
      <c r="AB39" s="14" t="s">
        <v>43</v>
      </c>
      <c r="AC39" s="13" t="s">
        <v>64</v>
      </c>
      <c r="AD39" s="8"/>
    </row>
    <row r="40" spans="1:30" x14ac:dyDescent="0.25">
      <c r="A40" s="37"/>
      <c r="B40" s="23"/>
      <c r="C40" s="23"/>
      <c r="E40" s="23"/>
      <c r="F40" s="23"/>
      <c r="G40" s="23"/>
      <c r="H40" s="23"/>
      <c r="AB40" s="15" t="s">
        <v>44</v>
      </c>
      <c r="AC40" s="13" t="s">
        <v>64</v>
      </c>
      <c r="AD40" s="8"/>
    </row>
    <row r="41" spans="1:30" x14ac:dyDescent="0.25">
      <c r="A41" s="37"/>
      <c r="B41" s="23"/>
      <c r="C41" s="23"/>
      <c r="D41" s="23"/>
      <c r="F41" s="23"/>
      <c r="G41" s="23"/>
      <c r="H41" s="23"/>
      <c r="AB41" s="14" t="s">
        <v>45</v>
      </c>
      <c r="AC41" s="13" t="s">
        <v>64</v>
      </c>
      <c r="AD41" s="8"/>
    </row>
    <row r="42" spans="1:30" x14ac:dyDescent="0.25">
      <c r="A42" s="37"/>
      <c r="B42" s="23"/>
      <c r="C42" s="23"/>
      <c r="F42" s="23"/>
      <c r="G42" s="23"/>
      <c r="H42" s="23"/>
      <c r="AB42" s="15" t="s">
        <v>46</v>
      </c>
      <c r="AC42" s="13" t="s">
        <v>64</v>
      </c>
      <c r="AD42" s="8"/>
    </row>
    <row r="43" spans="1:30" x14ac:dyDescent="0.25">
      <c r="A43" s="37"/>
      <c r="B43" s="23"/>
      <c r="C43" s="23"/>
      <c r="E43" s="23"/>
      <c r="F43" s="23"/>
      <c r="G43" s="23"/>
      <c r="H43" s="23"/>
      <c r="AB43" s="14" t="s">
        <v>47</v>
      </c>
      <c r="AC43" s="13" t="s">
        <v>64</v>
      </c>
      <c r="AD43" s="8"/>
    </row>
    <row r="44" spans="1:30" x14ac:dyDescent="0.25">
      <c r="A44" s="37"/>
      <c r="B44" s="23"/>
      <c r="C44" s="23"/>
      <c r="F44" s="23"/>
      <c r="G44" s="23"/>
      <c r="H44" s="23"/>
      <c r="AB44" s="15" t="s">
        <v>48</v>
      </c>
      <c r="AC44" s="13" t="s">
        <v>64</v>
      </c>
      <c r="AD44" s="8"/>
    </row>
    <row r="45" spans="1:30" x14ac:dyDescent="0.25">
      <c r="A45" s="37"/>
      <c r="B45" s="23"/>
      <c r="C45" s="23"/>
      <c r="F45" s="23"/>
      <c r="G45" s="23"/>
      <c r="H45" s="23"/>
      <c r="AB45" s="14" t="s">
        <v>49</v>
      </c>
      <c r="AC45" s="13" t="s">
        <v>67</v>
      </c>
      <c r="AD45" s="8"/>
    </row>
    <row r="46" spans="1:30" x14ac:dyDescent="0.25">
      <c r="A46" s="37"/>
      <c r="B46" s="23"/>
      <c r="C46" s="23"/>
      <c r="F46" s="23"/>
      <c r="G46" s="23"/>
      <c r="H46" s="23"/>
      <c r="AB46" s="15" t="s">
        <v>50</v>
      </c>
      <c r="AC46" s="13" t="s">
        <v>66</v>
      </c>
      <c r="AD46" s="8"/>
    </row>
    <row r="47" spans="1:30" x14ac:dyDescent="0.25">
      <c r="A47" s="37"/>
      <c r="B47" s="23"/>
      <c r="C47" s="23"/>
      <c r="F47" s="23"/>
      <c r="G47" s="23"/>
      <c r="H47" s="23"/>
      <c r="AB47" s="14" t="s">
        <v>51</v>
      </c>
      <c r="AC47" s="13" t="s">
        <v>66</v>
      </c>
      <c r="AD47" s="8"/>
    </row>
    <row r="48" spans="1:30" x14ac:dyDescent="0.25">
      <c r="A48" s="37"/>
      <c r="B48" s="23"/>
      <c r="F48" s="23"/>
      <c r="G48" s="23"/>
      <c r="H48" s="58"/>
      <c r="AB48" s="1" t="s">
        <v>52</v>
      </c>
      <c r="AC48" s="13" t="s">
        <v>63</v>
      </c>
      <c r="AD48" s="8"/>
    </row>
    <row r="49" spans="1:30" x14ac:dyDescent="0.25">
      <c r="A49" s="37"/>
      <c r="B49" s="23"/>
      <c r="F49" s="23"/>
      <c r="G49" s="23"/>
      <c r="H49" s="23"/>
      <c r="AB49" s="6" t="s">
        <v>53</v>
      </c>
      <c r="AC49" s="13" t="s">
        <v>63</v>
      </c>
      <c r="AD49" s="8"/>
    </row>
    <row r="50" spans="1:30" x14ac:dyDescent="0.25">
      <c r="A50" s="37"/>
      <c r="B50" s="23"/>
      <c r="F50" s="23"/>
      <c r="G50" s="23"/>
      <c r="AB50" s="6"/>
      <c r="AC50" s="13"/>
      <c r="AD50" s="8"/>
    </row>
    <row r="51" spans="1:30" x14ac:dyDescent="0.25">
      <c r="A51" s="37"/>
      <c r="B51" s="23"/>
      <c r="F51" s="23"/>
      <c r="G51" s="23"/>
      <c r="AB51" s="6" t="s">
        <v>54</v>
      </c>
      <c r="AC51" s="13" t="s">
        <v>65</v>
      </c>
      <c r="AD51" s="8"/>
    </row>
    <row r="52" spans="1:30" x14ac:dyDescent="0.25">
      <c r="A52" s="60"/>
      <c r="B52" s="23"/>
      <c r="F52" s="23"/>
      <c r="G52" s="23"/>
      <c r="H52" s="23"/>
      <c r="AB52" s="13" t="s">
        <v>55</v>
      </c>
      <c r="AC52" s="13" t="s">
        <v>64</v>
      </c>
      <c r="AD52" s="8"/>
    </row>
    <row r="53" spans="1:30" x14ac:dyDescent="0.25">
      <c r="A53" s="60"/>
      <c r="B53" s="23"/>
      <c r="F53" s="23"/>
      <c r="G53" s="23"/>
      <c r="AB53" s="13" t="s">
        <v>56</v>
      </c>
      <c r="AC53" s="13" t="s">
        <v>67</v>
      </c>
      <c r="AD53" s="8"/>
    </row>
    <row r="54" spans="1:30" x14ac:dyDescent="0.25">
      <c r="A54" s="60"/>
      <c r="B54" s="23"/>
      <c r="G54" s="23"/>
      <c r="H54" s="23"/>
      <c r="AB54" s="13" t="s">
        <v>40</v>
      </c>
      <c r="AC54" s="13" t="s">
        <v>64</v>
      </c>
      <c r="AD54" s="8"/>
    </row>
    <row r="55" spans="1:30" x14ac:dyDescent="0.25">
      <c r="A55" s="60"/>
      <c r="B55" s="23"/>
      <c r="G55" s="23"/>
      <c r="AB55" s="13" t="s">
        <v>57</v>
      </c>
      <c r="AC55" s="13" t="s">
        <v>64</v>
      </c>
      <c r="AD55" s="8"/>
    </row>
    <row r="56" spans="1:30" x14ac:dyDescent="0.25">
      <c r="A56" s="60"/>
      <c r="B56" s="23"/>
      <c r="G56" s="23"/>
    </row>
    <row r="57" spans="1:30" x14ac:dyDescent="0.25">
      <c r="A57" s="60"/>
      <c r="B57" s="23"/>
      <c r="G57" s="23"/>
      <c r="H57" s="23"/>
    </row>
    <row r="58" spans="1:30" x14ac:dyDescent="0.25">
      <c r="A58" s="60"/>
      <c r="B58" s="23"/>
      <c r="G58" s="23"/>
    </row>
    <row r="59" spans="1:30" x14ac:dyDescent="0.25">
      <c r="A59" s="60"/>
      <c r="B59" s="23"/>
      <c r="G59" s="23"/>
    </row>
    <row r="60" spans="1:30" x14ac:dyDescent="0.25">
      <c r="A60" s="60"/>
      <c r="B60" s="23"/>
      <c r="G60" s="23"/>
      <c r="H60" s="23"/>
    </row>
    <row r="61" spans="1:30" x14ac:dyDescent="0.25">
      <c r="A61" s="23"/>
      <c r="B61" s="23"/>
      <c r="G61" s="23"/>
    </row>
    <row r="62" spans="1:30" x14ac:dyDescent="0.25">
      <c r="A62" s="23"/>
      <c r="B62" s="23"/>
      <c r="G62" s="23"/>
    </row>
    <row r="63" spans="1:30" x14ac:dyDescent="0.25">
      <c r="A63" s="23"/>
      <c r="B63" s="23"/>
      <c r="G63" s="23"/>
    </row>
    <row r="64" spans="1:30" x14ac:dyDescent="0.25">
      <c r="A64" s="30"/>
      <c r="B64" s="23"/>
      <c r="G64" s="23"/>
      <c r="H64" s="23"/>
    </row>
    <row r="65" spans="1:8" x14ac:dyDescent="0.25">
      <c r="A65" s="30"/>
      <c r="B65" s="23"/>
      <c r="G65" s="23"/>
      <c r="H65" s="23"/>
    </row>
    <row r="66" spans="1:8" x14ac:dyDescent="0.25">
      <c r="A66" s="30"/>
      <c r="B66" s="23"/>
      <c r="G66" s="23"/>
      <c r="H66" s="23"/>
    </row>
    <row r="67" spans="1:8" x14ac:dyDescent="0.25">
      <c r="A67" s="30"/>
      <c r="B67" s="23"/>
      <c r="G67" s="23"/>
    </row>
    <row r="68" spans="1:8" x14ac:dyDescent="0.25">
      <c r="A68" s="30"/>
      <c r="B68" s="23"/>
      <c r="G68" s="23"/>
    </row>
    <row r="69" spans="1:8" x14ac:dyDescent="0.25">
      <c r="A69" s="30"/>
      <c r="B69" s="23"/>
      <c r="G69" s="23"/>
    </row>
    <row r="70" spans="1:8" x14ac:dyDescent="0.25">
      <c r="A70" s="30"/>
      <c r="B70" s="23"/>
      <c r="G70" s="23"/>
    </row>
    <row r="71" spans="1:8" x14ac:dyDescent="0.25">
      <c r="A71" s="30"/>
      <c r="B71" s="23"/>
      <c r="G71" s="23"/>
    </row>
    <row r="72" spans="1:8" x14ac:dyDescent="0.25">
      <c r="A72" s="30"/>
      <c r="B72" s="23"/>
      <c r="G72" s="23"/>
      <c r="H72" s="23"/>
    </row>
    <row r="73" spans="1:8" x14ac:dyDescent="0.25">
      <c r="A73" s="30"/>
      <c r="B73" s="23"/>
      <c r="G73" s="23"/>
    </row>
    <row r="74" spans="1:8" x14ac:dyDescent="0.25">
      <c r="A74" s="30"/>
      <c r="B74" s="23"/>
      <c r="G74" s="23"/>
    </row>
    <row r="75" spans="1:8" x14ac:dyDescent="0.25">
      <c r="A75" s="30"/>
      <c r="B75" s="23"/>
      <c r="G75" s="23"/>
    </row>
    <row r="76" spans="1:8" x14ac:dyDescent="0.25">
      <c r="A76" s="30"/>
      <c r="B76" s="23"/>
      <c r="G76" s="23"/>
    </row>
    <row r="77" spans="1:8" x14ac:dyDescent="0.25">
      <c r="A77" s="30"/>
      <c r="B77" s="23"/>
      <c r="F77" s="12" t="str">
        <f>IFERROR(VLOOKUP(E77,'Data sheet'!$B:$C,2,0),"")</f>
        <v/>
      </c>
      <c r="G77" s="23"/>
    </row>
    <row r="78" spans="1:8" x14ac:dyDescent="0.25">
      <c r="A78" s="30"/>
      <c r="B78" s="23"/>
      <c r="F78" s="12" t="str">
        <f>IFERROR(VLOOKUP(E78,'Data sheet'!$B:$C,2,0),"")</f>
        <v/>
      </c>
      <c r="G78" s="23"/>
    </row>
    <row r="79" spans="1:8" x14ac:dyDescent="0.25">
      <c r="A79" s="30"/>
      <c r="B79" s="23"/>
      <c r="F79" s="12" t="str">
        <f>IFERROR(VLOOKUP(E79,'Data sheet'!$B:$C,2,0),"")</f>
        <v/>
      </c>
      <c r="G79" s="23"/>
    </row>
    <row r="80" spans="1:8" x14ac:dyDescent="0.25">
      <c r="A80" s="30"/>
      <c r="B80" s="23"/>
      <c r="F80" s="12" t="str">
        <f>IFERROR(VLOOKUP(E80,'Data sheet'!$B:$C,2,0),"")</f>
        <v/>
      </c>
      <c r="G80" s="23"/>
    </row>
    <row r="81" spans="1:7" x14ac:dyDescent="0.25">
      <c r="A81" s="30"/>
      <c r="B81" s="23"/>
      <c r="F81" s="12" t="str">
        <f>IFERROR(VLOOKUP(E81,'Data sheet'!$B:$C,2,0),"")</f>
        <v/>
      </c>
      <c r="G81" s="23"/>
    </row>
    <row r="82" spans="1:7" x14ac:dyDescent="0.25">
      <c r="A82" s="30"/>
      <c r="B82" s="23"/>
      <c r="F82" s="12" t="str">
        <f>IFERROR(VLOOKUP(E82,'Data sheet'!$B:$C,2,0),"")</f>
        <v/>
      </c>
      <c r="G82" s="23"/>
    </row>
    <row r="83" spans="1:7" x14ac:dyDescent="0.25">
      <c r="A83" s="30"/>
      <c r="B83" s="23"/>
      <c r="F83" s="12" t="str">
        <f>IFERROR(VLOOKUP(E83,'Data sheet'!$B:$C,2,0),"")</f>
        <v/>
      </c>
      <c r="G83" s="23"/>
    </row>
    <row r="84" spans="1:7" x14ac:dyDescent="0.25">
      <c r="A84" s="30"/>
      <c r="B84" s="23"/>
      <c r="F84" s="12" t="str">
        <f>IFERROR(VLOOKUP(E84,'Data sheet'!$B:$C,2,0),"")</f>
        <v/>
      </c>
      <c r="G84" s="23"/>
    </row>
    <row r="86" spans="1:7" x14ac:dyDescent="0.25">
      <c r="F86" s="12" t="str">
        <f>IFERROR(VLOOKUP(E86,'Data sheet'!$B:$C,2,0),"")</f>
        <v/>
      </c>
    </row>
    <row r="87" spans="1:7" x14ac:dyDescent="0.25">
      <c r="F87" s="12" t="str">
        <f>IFERROR(VLOOKUP(E87,'Data sheet'!$B:$C,2,0),"")</f>
        <v/>
      </c>
    </row>
    <row r="88" spans="1:7" x14ac:dyDescent="0.25">
      <c r="F88" s="12" t="str">
        <f>IFERROR(VLOOKUP(E88,'Data sheet'!$B:$C,2,0),"")</f>
        <v/>
      </c>
    </row>
    <row r="89" spans="1:7" x14ac:dyDescent="0.25">
      <c r="F89" s="12" t="str">
        <f>IFERROR(VLOOKUP(E89,'Data sheet'!$B:$C,2,0),"")</f>
        <v/>
      </c>
    </row>
    <row r="90" spans="1:7" x14ac:dyDescent="0.25">
      <c r="F90" s="12" t="str">
        <f>IFERROR(VLOOKUP(E90,'Data sheet'!$B:$C,2,0),"")</f>
        <v/>
      </c>
    </row>
    <row r="91" spans="1:7" x14ac:dyDescent="0.25">
      <c r="F91" s="12" t="str">
        <f>IFERROR(VLOOKUP(E91,'Data sheet'!$B:$C,2,0),"")</f>
        <v/>
      </c>
    </row>
    <row r="92" spans="1:7" x14ac:dyDescent="0.25">
      <c r="F92" s="12" t="str">
        <f>IFERROR(VLOOKUP(E92,'Data sheet'!$B:$C,2,0),"")</f>
        <v/>
      </c>
    </row>
    <row r="93" spans="1:7" x14ac:dyDescent="0.25">
      <c r="F93" s="12" t="str">
        <f>IFERROR(VLOOKUP(E93,'Data sheet'!$B:$C,2,0),"")</f>
        <v/>
      </c>
    </row>
    <row r="94" spans="1:7" x14ac:dyDescent="0.25">
      <c r="F94" s="12" t="str">
        <f>IFERROR(VLOOKUP(E94,'Data sheet'!$B:$C,2,0),"")</f>
        <v/>
      </c>
    </row>
    <row r="95" spans="1:7" x14ac:dyDescent="0.25">
      <c r="F95" s="12" t="str">
        <f>IFERROR(VLOOKUP(E95,'Data sheet'!$B:$C,2,0),"")</f>
        <v/>
      </c>
    </row>
    <row r="96" spans="1:7"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sheetData>
  <autoFilter ref="A1:H736"/>
  <dataConsolidate/>
  <customSheetViews>
    <customSheetView guid="{0459E885-E56D-4233-A463-CDACB82F3A71}" showAutoFilter="1">
      <selection activeCell="A15" sqref="A15"/>
      <pageMargins left="0.7" right="0.7" top="0.75" bottom="0.75" header="0.3" footer="0.3"/>
      <pageSetup paperSize="9" orientation="portrait" r:id="rId1"/>
      <autoFilter ref="A1:H736"/>
    </customSheetView>
    <customSheetView guid="{D31A0C38-2BF3-428E-8B63-7EF803410846}" hiddenRows="1">
      <selection activeCell="A3" sqref="A3:H53"/>
      <pageMargins left="0.7" right="0.7" top="0.75" bottom="0.75" header="0.3" footer="0.3"/>
    </customSheetView>
    <customSheetView guid="{39AFBFEA-9E3B-4D39-9A52-E97212B04C3B}">
      <selection activeCell="A2" sqref="A2"/>
      <pageMargins left="0.7" right="0.7" top="0.75" bottom="0.75" header="0.3" footer="0.3"/>
    </customSheetView>
    <customSheetView guid="{5E4851DA-2CDD-4E0B-A9F2-CF05D4206F60}">
      <selection activeCell="E22" sqref="E22"/>
      <pageMargins left="0.7" right="0.7" top="0.75" bottom="0.75" header="0.3" footer="0.3"/>
    </customSheetView>
    <customSheetView guid="{CAAB4857-130C-45CF-BDB7-F4543166DC3F}" topLeftCell="A28">
      <selection activeCell="G58" sqref="G58"/>
      <pageMargins left="0.7" right="0.7" top="0.75" bottom="0.75" header="0.3" footer="0.3"/>
      <pageSetup orientation="portrait" r:id="rId2"/>
    </customSheetView>
    <customSheetView guid="{E72D1D85-DDEA-47FF-9C0A-B8A16DD802DE}" showPageBreaks="1" showAutoFilter="1">
      <selection activeCell="A15" sqref="A15"/>
      <pageMargins left="0.7" right="0.7" top="0.75" bottom="0.75" header="0.3" footer="0.3"/>
      <pageSetup paperSize="9" orientation="portrait" r:id="rId3"/>
      <autoFilter ref="A1:H736"/>
    </customSheetView>
  </customSheetViews>
  <dataValidations count="3">
    <dataValidation type="list" allowBlank="1" showInputMessage="1" showErrorMessage="1" sqref="D3 D4:D8 D10:D13 D31:D676 D20:D29">
      <formula1>IF(C3="Status Meeting",INDIRECT(C3),(IF(C3="MISC",INDIRECT(C3),INDIRECT("ProjectPhase"))))</formula1>
    </dataValidation>
    <dataValidation type="list" allowBlank="1" showInputMessage="1" showErrorMessage="1" sqref="E10:E13 E31:E676 E20:E29 E3:E8">
      <formula1>IF(C3="MISC","",INDIRECT(C3))</formula1>
    </dataValidation>
    <dataValidation type="list" allowBlank="1" showInputMessage="1" showErrorMessage="1" sqref="C31:C676 C20:C29 C10:C13 C3:C8">
      <formula1>Activity</formula1>
    </dataValidation>
  </dataValidations>
  <pageMargins left="0.7" right="0.7" top="0.75" bottom="0.75" header="0.3" footer="0.3"/>
  <pageSetup paperSize="9"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737"/>
  <sheetViews>
    <sheetView workbookViewId="0">
      <selection activeCell="E2" sqref="E2"/>
    </sheetView>
  </sheetViews>
  <sheetFormatPr defaultRowHeight="15" x14ac:dyDescent="0.25"/>
  <cols>
    <col min="1" max="1" width="19.28515625" style="12" customWidth="1"/>
    <col min="2" max="2" width="16.42578125" style="12" bestFit="1" customWidth="1"/>
    <col min="3" max="3" width="28.5703125" style="12" customWidth="1"/>
    <col min="4" max="4" width="29.140625" style="12" customWidth="1"/>
    <col min="5" max="5" width="59.5703125" style="12" customWidth="1"/>
    <col min="6" max="6" width="15.5703125" style="12" customWidth="1"/>
    <col min="7" max="7" width="17.5703125" style="12" customWidth="1"/>
    <col min="8" max="8" width="36.8554687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7"/>
      <c r="AA2" s="13" t="s">
        <v>9</v>
      </c>
      <c r="AB2" s="13" t="s">
        <v>16</v>
      </c>
      <c r="AC2" s="16" t="s">
        <v>63</v>
      </c>
      <c r="AD2" s="16" t="s">
        <v>70</v>
      </c>
      <c r="AE2" s="9" t="s">
        <v>59</v>
      </c>
    </row>
    <row r="3" spans="1:31" x14ac:dyDescent="0.25">
      <c r="A3" s="37"/>
      <c r="AA3" s="13" t="s">
        <v>10</v>
      </c>
      <c r="AB3" s="13" t="s">
        <v>17</v>
      </c>
      <c r="AC3" s="16" t="s">
        <v>63</v>
      </c>
      <c r="AD3" s="16" t="s">
        <v>71</v>
      </c>
      <c r="AE3" s="9" t="s">
        <v>60</v>
      </c>
    </row>
    <row r="4" spans="1:31" x14ac:dyDescent="0.25">
      <c r="A4" s="37"/>
      <c r="AA4" s="13"/>
      <c r="AB4" s="13"/>
      <c r="AC4" s="16"/>
      <c r="AD4" s="16"/>
      <c r="AE4" s="9"/>
    </row>
    <row r="5" spans="1:31" x14ac:dyDescent="0.25">
      <c r="A5" s="37"/>
      <c r="G5" s="23"/>
      <c r="H5" s="23"/>
      <c r="AA5" s="13"/>
      <c r="AB5" s="13"/>
      <c r="AC5" s="16"/>
      <c r="AD5" s="16"/>
      <c r="AE5" s="9"/>
    </row>
    <row r="6" spans="1:31" x14ac:dyDescent="0.25">
      <c r="A6" s="37"/>
      <c r="G6" s="23"/>
      <c r="AA6" s="13"/>
      <c r="AB6" s="13"/>
      <c r="AC6" s="16"/>
      <c r="AD6" s="16"/>
      <c r="AE6" s="9"/>
    </row>
    <row r="7" spans="1:31" x14ac:dyDescent="0.25">
      <c r="A7" s="37"/>
      <c r="G7" s="23"/>
      <c r="AA7" s="13"/>
      <c r="AB7" s="13"/>
      <c r="AC7" s="16"/>
      <c r="AD7" s="16"/>
      <c r="AE7" s="9"/>
    </row>
    <row r="8" spans="1:31" x14ac:dyDescent="0.25">
      <c r="A8" s="37"/>
      <c r="C8" s="23"/>
      <c r="D8" s="23"/>
      <c r="F8" s="23"/>
      <c r="G8" s="23"/>
      <c r="H8" s="23"/>
      <c r="AA8" s="13"/>
      <c r="AB8" s="13"/>
      <c r="AC8" s="16"/>
      <c r="AD8" s="16"/>
      <c r="AE8" s="9"/>
    </row>
    <row r="9" spans="1:31" x14ac:dyDescent="0.25">
      <c r="A9" s="37"/>
      <c r="C9" s="23"/>
      <c r="D9" s="23"/>
      <c r="F9" s="23"/>
      <c r="G9" s="23"/>
      <c r="H9" s="23"/>
      <c r="AA9" s="13"/>
      <c r="AB9" s="13"/>
      <c r="AC9" s="16"/>
      <c r="AD9" s="16"/>
      <c r="AE9" s="9"/>
    </row>
    <row r="10" spans="1:31" x14ac:dyDescent="0.25">
      <c r="A10" s="37"/>
      <c r="G10" s="23"/>
      <c r="AA10" s="13"/>
      <c r="AB10" s="13"/>
      <c r="AC10" s="16"/>
      <c r="AD10" s="16"/>
      <c r="AE10" s="9"/>
    </row>
    <row r="11" spans="1:31" x14ac:dyDescent="0.25">
      <c r="A11" s="37"/>
      <c r="G11" s="23"/>
      <c r="AA11" s="13"/>
      <c r="AB11" s="13"/>
      <c r="AC11" s="16"/>
      <c r="AD11" s="16"/>
      <c r="AE11" s="9"/>
    </row>
    <row r="12" spans="1:31" x14ac:dyDescent="0.25">
      <c r="A12" s="37"/>
      <c r="C12" s="23"/>
      <c r="D12" s="23"/>
      <c r="G12" s="23"/>
      <c r="H12" s="23"/>
      <c r="AA12" s="13"/>
      <c r="AB12" s="13"/>
      <c r="AC12" s="16"/>
      <c r="AD12" s="16"/>
      <c r="AE12" s="9"/>
    </row>
    <row r="13" spans="1:31" x14ac:dyDescent="0.25">
      <c r="A13" s="37"/>
      <c r="C13" s="23"/>
      <c r="D13" s="23"/>
      <c r="F13" s="23"/>
      <c r="G13" s="23"/>
      <c r="H13" s="23"/>
      <c r="AA13" s="13"/>
      <c r="AB13" s="13"/>
      <c r="AC13" s="16"/>
      <c r="AD13" s="16"/>
      <c r="AE13" s="9"/>
    </row>
    <row r="14" spans="1:31" x14ac:dyDescent="0.25">
      <c r="A14" s="37"/>
      <c r="G14" s="23"/>
      <c r="AA14" s="13"/>
      <c r="AB14" s="13"/>
      <c r="AC14" s="16"/>
      <c r="AD14" s="16"/>
      <c r="AE14" s="9"/>
    </row>
    <row r="15" spans="1:31" ht="23.25" customHeight="1" x14ac:dyDescent="0.25">
      <c r="A15" s="37"/>
      <c r="D15" s="81"/>
      <c r="E15" s="81"/>
      <c r="G15" s="23"/>
      <c r="AA15" s="13"/>
      <c r="AB15" s="13"/>
      <c r="AC15" s="16"/>
      <c r="AD15" s="16"/>
      <c r="AE15" s="9"/>
    </row>
    <row r="16" spans="1:31" x14ac:dyDescent="0.25">
      <c r="A16" s="37"/>
      <c r="C16" s="23"/>
      <c r="D16" s="23"/>
      <c r="G16" s="23"/>
      <c r="AA16" s="13"/>
      <c r="AB16" s="13"/>
      <c r="AC16" s="16"/>
      <c r="AD16" s="16"/>
      <c r="AE16" s="9"/>
    </row>
    <row r="17" spans="1:31" x14ac:dyDescent="0.25">
      <c r="A17" s="37"/>
      <c r="G17" s="23"/>
      <c r="AA17" s="13"/>
      <c r="AB17" s="13"/>
      <c r="AC17" s="16"/>
      <c r="AD17" s="16"/>
      <c r="AE17" s="9"/>
    </row>
    <row r="18" spans="1:31" ht="15.75" customHeight="1" x14ac:dyDescent="0.25">
      <c r="A18" s="37"/>
      <c r="G18" s="23"/>
      <c r="AA18" s="13" t="s">
        <v>12</v>
      </c>
      <c r="AB18" s="13" t="s">
        <v>18</v>
      </c>
      <c r="AC18" s="16" t="s">
        <v>63</v>
      </c>
      <c r="AD18" s="16" t="s">
        <v>72</v>
      </c>
      <c r="AE18" s="9" t="s">
        <v>61</v>
      </c>
    </row>
    <row r="19" spans="1:31" ht="12.75" customHeight="1" x14ac:dyDescent="0.25">
      <c r="A19" s="37"/>
      <c r="G19" s="23"/>
      <c r="AA19" s="13" t="s">
        <v>13</v>
      </c>
      <c r="AB19" s="13" t="s">
        <v>19</v>
      </c>
      <c r="AC19" s="16" t="s">
        <v>64</v>
      </c>
      <c r="AD19" s="16" t="s">
        <v>73</v>
      </c>
      <c r="AE19" s="9" t="s">
        <v>11</v>
      </c>
    </row>
    <row r="20" spans="1:31" x14ac:dyDescent="0.25">
      <c r="A20" s="37"/>
      <c r="G20" s="23"/>
      <c r="AA20" s="13" t="s">
        <v>14</v>
      </c>
      <c r="AB20" s="13" t="s">
        <v>20</v>
      </c>
      <c r="AC20" s="16" t="s">
        <v>65</v>
      </c>
      <c r="AD20" s="16" t="s">
        <v>74</v>
      </c>
      <c r="AE20" s="9" t="s">
        <v>62</v>
      </c>
    </row>
    <row r="21" spans="1:31" x14ac:dyDescent="0.25">
      <c r="A21" s="37"/>
      <c r="G21" s="23"/>
      <c r="AA21" s="8"/>
      <c r="AB21" s="13"/>
      <c r="AC21" s="16"/>
      <c r="AD21" s="16"/>
      <c r="AE21" s="8"/>
    </row>
    <row r="22" spans="1:31" ht="16.5" customHeight="1" x14ac:dyDescent="0.25">
      <c r="A22" s="37"/>
      <c r="G22" s="23"/>
      <c r="AB22" s="13" t="s">
        <v>21</v>
      </c>
      <c r="AC22" s="16" t="s">
        <v>64</v>
      </c>
      <c r="AD22" s="16" t="s">
        <v>75</v>
      </c>
    </row>
    <row r="23" spans="1:31" ht="16.5" customHeight="1" x14ac:dyDescent="0.25">
      <c r="A23" s="37"/>
      <c r="G23" s="23"/>
      <c r="AB23" s="13"/>
      <c r="AC23" s="16"/>
      <c r="AD23" s="16"/>
    </row>
    <row r="24" spans="1:31" x14ac:dyDescent="0.25">
      <c r="A24" s="37"/>
      <c r="G24" s="23"/>
      <c r="AB24" s="13" t="s">
        <v>22</v>
      </c>
      <c r="AC24" s="16" t="s">
        <v>64</v>
      </c>
      <c r="AD24" s="16" t="s">
        <v>76</v>
      </c>
    </row>
    <row r="25" spans="1:31" x14ac:dyDescent="0.25">
      <c r="A25" s="37"/>
      <c r="G25" s="23"/>
      <c r="AB25" s="13" t="s">
        <v>24</v>
      </c>
      <c r="AC25" s="16" t="s">
        <v>63</v>
      </c>
      <c r="AD25" s="16" t="s">
        <v>78</v>
      </c>
    </row>
    <row r="26" spans="1:31" x14ac:dyDescent="0.25">
      <c r="A26" s="37"/>
      <c r="G26" s="23"/>
      <c r="H26" s="23"/>
      <c r="AB26" s="13" t="s">
        <v>25</v>
      </c>
      <c r="AC26" s="13" t="s">
        <v>66</v>
      </c>
      <c r="AD26" s="8"/>
    </row>
    <row r="27" spans="1:31" x14ac:dyDescent="0.25">
      <c r="A27" s="37"/>
      <c r="G27" s="23"/>
      <c r="AB27" s="13" t="s">
        <v>26</v>
      </c>
      <c r="AC27" s="13" t="s">
        <v>65</v>
      </c>
      <c r="AD27" s="8"/>
    </row>
    <row r="28" spans="1:31" x14ac:dyDescent="0.25">
      <c r="A28" s="37"/>
      <c r="G28" s="23"/>
      <c r="H28" s="23"/>
      <c r="AB28" s="13" t="s">
        <v>27</v>
      </c>
      <c r="AC28" s="13" t="s">
        <v>64</v>
      </c>
      <c r="AD28" s="8"/>
    </row>
    <row r="29" spans="1:31" x14ac:dyDescent="0.25">
      <c r="A29" s="37"/>
      <c r="G29" s="23"/>
      <c r="AB29" s="13"/>
      <c r="AC29" s="13"/>
      <c r="AD29" s="8"/>
    </row>
    <row r="30" spans="1:31" x14ac:dyDescent="0.25">
      <c r="A30" s="37"/>
      <c r="G30" s="23"/>
      <c r="AB30" s="13" t="s">
        <v>28</v>
      </c>
      <c r="AC30" s="13" t="s">
        <v>63</v>
      </c>
      <c r="AD30" s="8"/>
    </row>
    <row r="31" spans="1:31" x14ac:dyDescent="0.25">
      <c r="A31" s="37"/>
      <c r="G31" s="23"/>
      <c r="AB31" s="13" t="s">
        <v>29</v>
      </c>
      <c r="AC31" s="13" t="s">
        <v>65</v>
      </c>
      <c r="AD31" s="8"/>
    </row>
    <row r="32" spans="1:31" x14ac:dyDescent="0.25">
      <c r="A32" s="37"/>
      <c r="G32" s="23"/>
      <c r="AB32" s="13" t="s">
        <v>30</v>
      </c>
      <c r="AC32" s="13" t="s">
        <v>64</v>
      </c>
      <c r="AD32" s="8"/>
    </row>
    <row r="33" spans="1:30" x14ac:dyDescent="0.25">
      <c r="A33" s="37"/>
      <c r="G33" s="23"/>
      <c r="AB33" s="13" t="s">
        <v>31</v>
      </c>
      <c r="AC33" s="13" t="s">
        <v>63</v>
      </c>
      <c r="AD33" s="8"/>
    </row>
    <row r="34" spans="1:30" x14ac:dyDescent="0.25">
      <c r="A34" s="37"/>
      <c r="F34" s="23"/>
      <c r="G34" s="23"/>
      <c r="AB34" s="13" t="s">
        <v>32</v>
      </c>
      <c r="AC34" s="13" t="s">
        <v>64</v>
      </c>
      <c r="AD34" s="8"/>
    </row>
    <row r="35" spans="1:30" x14ac:dyDescent="0.25">
      <c r="A35" s="37"/>
      <c r="G35" s="23"/>
      <c r="AB35" s="13" t="s">
        <v>33</v>
      </c>
      <c r="AC35" s="13" t="s">
        <v>63</v>
      </c>
      <c r="AD35" s="8"/>
    </row>
    <row r="36" spans="1:30" x14ac:dyDescent="0.25">
      <c r="A36" s="37"/>
      <c r="G36" s="23"/>
      <c r="H36" s="23"/>
      <c r="AB36" s="13"/>
      <c r="AC36" s="13"/>
      <c r="AD36" s="8"/>
    </row>
    <row r="37" spans="1:30" x14ac:dyDescent="0.25">
      <c r="A37" s="37"/>
      <c r="G37" s="23"/>
      <c r="AB37" s="13"/>
      <c r="AC37" s="13"/>
      <c r="AD37" s="8"/>
    </row>
    <row r="38" spans="1:30" x14ac:dyDescent="0.25">
      <c r="A38" s="37"/>
      <c r="G38" s="23"/>
      <c r="AB38" s="13" t="s">
        <v>35</v>
      </c>
      <c r="AC38" s="13" t="s">
        <v>65</v>
      </c>
      <c r="AD38" s="8"/>
    </row>
    <row r="39" spans="1:30" x14ac:dyDescent="0.25">
      <c r="A39" s="37"/>
      <c r="G39" s="23"/>
      <c r="AB39" s="13" t="s">
        <v>36</v>
      </c>
      <c r="AC39" s="13" t="s">
        <v>64</v>
      </c>
      <c r="AD39" s="8"/>
    </row>
    <row r="40" spans="1:30" x14ac:dyDescent="0.25">
      <c r="A40" s="37"/>
      <c r="G40" s="23"/>
      <c r="AB40" s="13" t="s">
        <v>37</v>
      </c>
      <c r="AC40" s="13" t="s">
        <v>66</v>
      </c>
      <c r="AD40" s="8"/>
    </row>
    <row r="41" spans="1:30" x14ac:dyDescent="0.25">
      <c r="A41" s="37"/>
      <c r="G41" s="23"/>
      <c r="AB41" s="13" t="s">
        <v>38</v>
      </c>
      <c r="AC41" s="13" t="s">
        <v>67</v>
      </c>
      <c r="AD41" s="8"/>
    </row>
    <row r="42" spans="1:30" x14ac:dyDescent="0.25">
      <c r="A42" s="37"/>
      <c r="G42" s="23"/>
      <c r="AB42" s="13" t="s">
        <v>39</v>
      </c>
      <c r="AC42" s="13" t="s">
        <v>63</v>
      </c>
      <c r="AD42" s="8"/>
    </row>
    <row r="43" spans="1:30" x14ac:dyDescent="0.25">
      <c r="A43" s="37"/>
      <c r="G43" s="23"/>
      <c r="AB43" s="13" t="s">
        <v>40</v>
      </c>
      <c r="AC43" s="13" t="s">
        <v>64</v>
      </c>
      <c r="AD43" s="8"/>
    </row>
    <row r="44" spans="1:30" x14ac:dyDescent="0.25">
      <c r="A44" s="37"/>
      <c r="G44" s="23"/>
      <c r="AB44" s="13" t="s">
        <v>41</v>
      </c>
      <c r="AC44" s="13" t="s">
        <v>67</v>
      </c>
      <c r="AD44" s="8"/>
    </row>
    <row r="45" spans="1:30" x14ac:dyDescent="0.25">
      <c r="A45" s="37"/>
      <c r="G45" s="23"/>
      <c r="H45" s="23"/>
      <c r="AB45" s="13" t="s">
        <v>42</v>
      </c>
      <c r="AC45" s="13" t="s">
        <v>66</v>
      </c>
      <c r="AD45" s="8"/>
    </row>
    <row r="46" spans="1:30" x14ac:dyDescent="0.25">
      <c r="A46" s="37"/>
      <c r="G46" s="23"/>
      <c r="AB46" s="14" t="s">
        <v>43</v>
      </c>
      <c r="AC46" s="13" t="s">
        <v>64</v>
      </c>
      <c r="AD46" s="8"/>
    </row>
    <row r="47" spans="1:30" x14ac:dyDescent="0.25">
      <c r="A47" s="37"/>
      <c r="G47" s="23"/>
      <c r="H47" s="23"/>
      <c r="AB47" s="15" t="s">
        <v>44</v>
      </c>
      <c r="AC47" s="13" t="s">
        <v>64</v>
      </c>
      <c r="AD47" s="8"/>
    </row>
    <row r="48" spans="1:30" x14ac:dyDescent="0.25">
      <c r="A48" s="37"/>
      <c r="G48" s="23"/>
      <c r="H48" s="23"/>
      <c r="AB48" s="14" t="s">
        <v>45</v>
      </c>
      <c r="AC48" s="13" t="s">
        <v>64</v>
      </c>
      <c r="AD48" s="8"/>
    </row>
    <row r="49" spans="1:30" x14ac:dyDescent="0.25">
      <c r="A49" s="37"/>
      <c r="G49" s="23"/>
      <c r="AB49" s="15" t="s">
        <v>46</v>
      </c>
      <c r="AC49" s="13" t="s">
        <v>64</v>
      </c>
      <c r="AD49" s="8"/>
    </row>
    <row r="50" spans="1:30" x14ac:dyDescent="0.25">
      <c r="A50" s="37"/>
      <c r="F50" s="23"/>
      <c r="G50" s="23"/>
      <c r="H50" s="31"/>
      <c r="AB50" s="14" t="s">
        <v>47</v>
      </c>
      <c r="AC50" s="13" t="s">
        <v>64</v>
      </c>
      <c r="AD50" s="8"/>
    </row>
    <row r="51" spans="1:30" x14ac:dyDescent="0.25">
      <c r="A51" s="30"/>
      <c r="G51" s="23"/>
      <c r="H51" s="31"/>
      <c r="AB51" s="15" t="s">
        <v>48</v>
      </c>
      <c r="AC51" s="13" t="s">
        <v>64</v>
      </c>
      <c r="AD51" s="8"/>
    </row>
    <row r="52" spans="1:30" x14ac:dyDescent="0.25">
      <c r="A52" s="30"/>
      <c r="G52" s="23"/>
      <c r="H52" s="31"/>
      <c r="AB52" s="14" t="s">
        <v>49</v>
      </c>
      <c r="AC52" s="13" t="s">
        <v>67</v>
      </c>
      <c r="AD52" s="8"/>
    </row>
    <row r="53" spans="1:30" x14ac:dyDescent="0.25">
      <c r="A53" s="30"/>
      <c r="G53" s="23"/>
      <c r="AB53" s="15" t="s">
        <v>50</v>
      </c>
      <c r="AC53" s="13" t="s">
        <v>66</v>
      </c>
      <c r="AD53" s="8"/>
    </row>
    <row r="54" spans="1:30" x14ac:dyDescent="0.25">
      <c r="A54" s="30"/>
      <c r="G54" s="23"/>
      <c r="AB54" s="14" t="s">
        <v>51</v>
      </c>
      <c r="AC54" s="13" t="s">
        <v>66</v>
      </c>
      <c r="AD54" s="8"/>
    </row>
    <row r="55" spans="1:30" x14ac:dyDescent="0.25">
      <c r="A55" s="30"/>
      <c r="G55" s="23"/>
      <c r="H55" s="31"/>
      <c r="AB55" s="1" t="s">
        <v>52</v>
      </c>
      <c r="AC55" s="13" t="s">
        <v>63</v>
      </c>
      <c r="AD55" s="8"/>
    </row>
    <row r="56" spans="1:30" x14ac:dyDescent="0.25">
      <c r="A56" s="30"/>
      <c r="G56" s="23"/>
      <c r="H56" s="23"/>
      <c r="AB56" s="6" t="s">
        <v>53</v>
      </c>
      <c r="AC56" s="13" t="s">
        <v>63</v>
      </c>
      <c r="AD56" s="8"/>
    </row>
    <row r="57" spans="1:30" x14ac:dyDescent="0.25">
      <c r="A57" s="30"/>
      <c r="G57" s="23"/>
      <c r="H57" s="43"/>
      <c r="AB57" s="6" t="s">
        <v>54</v>
      </c>
      <c r="AC57" s="13" t="s">
        <v>65</v>
      </c>
      <c r="AD57" s="8"/>
    </row>
    <row r="58" spans="1:30" x14ac:dyDescent="0.25">
      <c r="A58" s="30"/>
      <c r="G58" s="23"/>
      <c r="H58" s="23"/>
      <c r="AB58" s="13" t="s">
        <v>55</v>
      </c>
      <c r="AC58" s="13" t="s">
        <v>64</v>
      </c>
      <c r="AD58" s="8"/>
    </row>
    <row r="59" spans="1:30" x14ac:dyDescent="0.25">
      <c r="A59" s="30"/>
      <c r="G59" s="23"/>
      <c r="H59" s="23"/>
      <c r="AB59" s="13" t="s">
        <v>56</v>
      </c>
      <c r="AC59" s="13" t="s">
        <v>67</v>
      </c>
      <c r="AD59" s="8"/>
    </row>
    <row r="60" spans="1:30" x14ac:dyDescent="0.25">
      <c r="A60" s="30"/>
      <c r="G60" s="23"/>
    </row>
    <row r="61" spans="1:30" x14ac:dyDescent="0.25">
      <c r="A61" s="30"/>
      <c r="G61" s="23"/>
    </row>
    <row r="62" spans="1:30" x14ac:dyDescent="0.25">
      <c r="A62" s="30"/>
      <c r="G62" s="23"/>
      <c r="H62" s="23"/>
    </row>
    <row r="63" spans="1:30" x14ac:dyDescent="0.25">
      <c r="A63" s="30"/>
      <c r="G63" s="23"/>
      <c r="H63" s="23"/>
    </row>
    <row r="64" spans="1:30" x14ac:dyDescent="0.25">
      <c r="A64" s="30"/>
    </row>
    <row r="65" spans="1:1" x14ac:dyDescent="0.25">
      <c r="A65" s="30"/>
    </row>
    <row r="66" spans="1:1" x14ac:dyDescent="0.25">
      <c r="A66" s="30"/>
    </row>
    <row r="67" spans="1:1" x14ac:dyDescent="0.25">
      <c r="A67" s="30"/>
    </row>
    <row r="68" spans="1:1" x14ac:dyDescent="0.25">
      <c r="A68" s="30"/>
    </row>
    <row r="69" spans="1:1" x14ac:dyDescent="0.25">
      <c r="A69" s="30"/>
    </row>
    <row r="70" spans="1:1" x14ac:dyDescent="0.25">
      <c r="A70" s="30"/>
    </row>
    <row r="71" spans="1:1" x14ac:dyDescent="0.25">
      <c r="A71" s="30"/>
    </row>
    <row r="72" spans="1:1" x14ac:dyDescent="0.25">
      <c r="A72" s="30"/>
    </row>
    <row r="73" spans="1:1" x14ac:dyDescent="0.25">
      <c r="A73" s="30"/>
    </row>
    <row r="74" spans="1:1" x14ac:dyDescent="0.25">
      <c r="A74" s="30"/>
    </row>
    <row r="75" spans="1:1" x14ac:dyDescent="0.25">
      <c r="A75" s="30"/>
    </row>
    <row r="76" spans="1:1" x14ac:dyDescent="0.25">
      <c r="A76" s="30"/>
    </row>
    <row r="77" spans="1:1" x14ac:dyDescent="0.25">
      <c r="A77" s="30"/>
    </row>
    <row r="78" spans="1:1" x14ac:dyDescent="0.25">
      <c r="A78" s="30"/>
    </row>
    <row r="79" spans="1:1" x14ac:dyDescent="0.25">
      <c r="A79" s="30"/>
    </row>
    <row r="80" spans="1:1" x14ac:dyDescent="0.25">
      <c r="A80" s="30"/>
    </row>
    <row r="81" spans="1:6" x14ac:dyDescent="0.25">
      <c r="A81" s="30"/>
    </row>
    <row r="82" spans="1:6" x14ac:dyDescent="0.25">
      <c r="A82" s="30"/>
    </row>
    <row r="83" spans="1:6" x14ac:dyDescent="0.25">
      <c r="A83" s="30"/>
    </row>
    <row r="84" spans="1:6" x14ac:dyDescent="0.25">
      <c r="A84" s="30"/>
    </row>
    <row r="85" spans="1:6" x14ac:dyDescent="0.25">
      <c r="A85" s="30"/>
    </row>
    <row r="86" spans="1:6" x14ac:dyDescent="0.25">
      <c r="A86" s="30"/>
    </row>
    <row r="87" spans="1:6" x14ac:dyDescent="0.25">
      <c r="A87" s="30"/>
    </row>
    <row r="88" spans="1:6" x14ac:dyDescent="0.25">
      <c r="A88" s="30"/>
    </row>
    <row r="89" spans="1:6" x14ac:dyDescent="0.25">
      <c r="A89" s="30"/>
    </row>
    <row r="90" spans="1:6" x14ac:dyDescent="0.25">
      <c r="A90" s="30"/>
    </row>
    <row r="91" spans="1:6" x14ac:dyDescent="0.25">
      <c r="A91" s="30"/>
    </row>
    <row r="92" spans="1:6" x14ac:dyDescent="0.25">
      <c r="A92" s="30"/>
    </row>
    <row r="93" spans="1:6" x14ac:dyDescent="0.25">
      <c r="A93" s="30"/>
    </row>
    <row r="94" spans="1:6" x14ac:dyDescent="0.25">
      <c r="A94" s="30"/>
    </row>
    <row r="95" spans="1:6" x14ac:dyDescent="0.25">
      <c r="A95" s="30"/>
    </row>
    <row r="96" spans="1:6" x14ac:dyDescent="0.25">
      <c r="A96" s="30"/>
      <c r="F96" s="12" t="str">
        <f>IFERROR(VLOOKUP(E96,'Data sheet'!$B:$C,2,0),"")</f>
        <v/>
      </c>
    </row>
    <row r="97" spans="1:6" x14ac:dyDescent="0.25">
      <c r="A97" s="30"/>
      <c r="F97" s="12" t="str">
        <f>IFERROR(VLOOKUP(E97,'Data sheet'!$B:$C,2,0),"")</f>
        <v/>
      </c>
    </row>
    <row r="98" spans="1:6" x14ac:dyDescent="0.25">
      <c r="A98" s="30"/>
      <c r="F98" s="12" t="str">
        <f>IFERROR(VLOOKUP(E98,'Data sheet'!$B:$C,2,0),"")</f>
        <v/>
      </c>
    </row>
    <row r="99" spans="1:6" x14ac:dyDescent="0.25">
      <c r="A99" s="30"/>
      <c r="F99" s="12" t="str">
        <f>IFERROR(VLOOKUP(E99,'Data sheet'!$B:$C,2,0),"")</f>
        <v/>
      </c>
    </row>
    <row r="100" spans="1:6" x14ac:dyDescent="0.25">
      <c r="A100" s="30"/>
      <c r="F100" s="12" t="str">
        <f>IFERROR(VLOOKUP(E100,'Data sheet'!$B:$C,2,0),"")</f>
        <v/>
      </c>
    </row>
    <row r="101" spans="1:6" x14ac:dyDescent="0.25">
      <c r="A101" s="30"/>
      <c r="F101" s="12" t="str">
        <f>IFERROR(VLOOKUP(E101,'Data sheet'!$B:$C,2,0),"")</f>
        <v/>
      </c>
    </row>
    <row r="102" spans="1:6" x14ac:dyDescent="0.25">
      <c r="A102" s="30"/>
      <c r="F102" s="12" t="str">
        <f>IFERROR(VLOOKUP(E102,'Data sheet'!$B:$C,2,0),"")</f>
        <v/>
      </c>
    </row>
    <row r="103" spans="1:6" x14ac:dyDescent="0.25">
      <c r="F103" s="12" t="str">
        <f>IFERROR(VLOOKUP(E103,'Data sheet'!$B:$C,2,0),"")</f>
        <v/>
      </c>
    </row>
    <row r="104" spans="1:6" x14ac:dyDescent="0.25">
      <c r="F104" s="12" t="str">
        <f>IFERROR(VLOOKUP(E104,'Data sheet'!$B:$C,2,0),"")</f>
        <v/>
      </c>
    </row>
    <row r="105" spans="1:6" x14ac:dyDescent="0.25">
      <c r="F105" s="12" t="str">
        <f>IFERROR(VLOOKUP(E105,'Data sheet'!$B:$C,2,0),"")</f>
        <v/>
      </c>
    </row>
    <row r="106" spans="1:6" x14ac:dyDescent="0.25">
      <c r="F106" s="12" t="str">
        <f>IFERROR(VLOOKUP(E106,'Data sheet'!$B:$C,2,0),"")</f>
        <v/>
      </c>
    </row>
    <row r="107" spans="1:6" x14ac:dyDescent="0.25">
      <c r="F107" s="12" t="str">
        <f>IFERROR(VLOOKUP(E107,'Data sheet'!$B:$C,2,0),"")</f>
        <v/>
      </c>
    </row>
    <row r="108" spans="1:6" x14ac:dyDescent="0.25">
      <c r="F108" s="12" t="str">
        <f>IFERROR(VLOOKUP(E108,'Data sheet'!$B:$C,2,0),"")</f>
        <v/>
      </c>
    </row>
    <row r="109" spans="1:6" x14ac:dyDescent="0.25">
      <c r="F109" s="12" t="str">
        <f>IFERROR(VLOOKUP(E109,'Data sheet'!$B:$C,2,0),"")</f>
        <v/>
      </c>
    </row>
    <row r="110" spans="1:6" x14ac:dyDescent="0.25">
      <c r="F110" s="12" t="str">
        <f>IFERROR(VLOOKUP(E110,'Data sheet'!$B:$C,2,0),"")</f>
        <v/>
      </c>
    </row>
    <row r="111" spans="1:6" x14ac:dyDescent="0.25">
      <c r="F111" s="12" t="str">
        <f>IFERROR(VLOOKUP(E111,'Data sheet'!$B:$C,2,0),"")</f>
        <v/>
      </c>
    </row>
    <row r="112" spans="1: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sheet'!$B:$C,2,0),"")</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sheetData>
  <customSheetViews>
    <customSheetView guid="{0459E885-E56D-4233-A463-CDACB82F3A71}">
      <selection activeCell="E2" sqref="E2"/>
      <pageMargins left="0.7" right="0.7" top="0.75" bottom="0.75" header="0.3" footer="0.3"/>
      <pageSetup paperSize="9" orientation="portrait" r:id="rId1"/>
    </customSheetView>
    <customSheetView guid="{D31A0C38-2BF3-428E-8B63-7EF803410846}">
      <selection activeCell="A2" sqref="A2"/>
      <pageMargins left="0.7" right="0.7" top="0.75" bottom="0.75" header="0.3" footer="0.3"/>
      <pageSetup paperSize="9" orientation="portrait" r:id="rId2"/>
    </customSheetView>
    <customSheetView guid="{39AFBFEA-9E3B-4D39-9A52-E97212B04C3B}" topLeftCell="A6">
      <selection activeCell="E37" sqref="E37"/>
      <pageMargins left="0.7" right="0.7" top="0.75" bottom="0.75" header="0.3" footer="0.3"/>
      <pageSetup paperSize="9" orientation="portrait" r:id="rId3"/>
    </customSheetView>
    <customSheetView guid="{5E4851DA-2CDD-4E0B-A9F2-CF05D4206F60}" topLeftCell="A31">
      <selection activeCell="E38" sqref="E38"/>
      <pageMargins left="0.7" right="0.7" top="0.75" bottom="0.75" header="0.3" footer="0.3"/>
      <pageSetup paperSize="9" orientation="portrait" r:id="rId4"/>
    </customSheetView>
    <customSheetView guid="{CAAB4857-130C-45CF-BDB7-F4543166DC3F}">
      <selection activeCell="D8" sqref="D8"/>
      <pageMargins left="0.7" right="0.7" top="0.75" bottom="0.75" header="0.3" footer="0.3"/>
      <pageSetup paperSize="9" orientation="portrait" r:id="rId5"/>
    </customSheetView>
    <customSheetView guid="{E72D1D85-DDEA-47FF-9C0A-B8A16DD802DE}">
      <selection activeCell="E2" sqref="E2"/>
      <pageMargins left="0.7" right="0.7" top="0.75" bottom="0.75" header="0.3" footer="0.3"/>
      <pageSetup paperSize="9" orientation="portrait" r:id="rId6"/>
    </customSheetView>
  </customSheetViews>
  <dataValidations count="3">
    <dataValidation type="list" allowBlank="1" showInputMessage="1" showErrorMessage="1" sqref="D14:D677 E13 D2:D12">
      <formula1>IF(C2="Status Meeting",INDIRECT(C2),(IF(C2="MISC",INDIRECT(C2),INDIRECT("ProjectPhase"))))</formula1>
    </dataValidation>
    <dataValidation type="list" allowBlank="1" showInputMessage="1" showErrorMessage="1" sqref="E14:E677 F13 E2:E12">
      <formula1>IF(C2="MISC","",INDIRECT(C2))</formula1>
    </dataValidation>
    <dataValidation type="list" allowBlank="1" showInputMessage="1" showErrorMessage="1" sqref="C14:C677 D13 C2:C12">
      <formula1>Activity</formula1>
    </dataValidation>
  </dataValidations>
  <pageMargins left="0.7" right="0.7" top="0.75" bottom="0.75" header="0.3" footer="0.3"/>
  <pageSetup paperSize="9" orientation="portrait"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746"/>
  <sheetViews>
    <sheetView zoomScaleNormal="100" workbookViewId="0">
      <selection activeCell="A4" sqref="A4"/>
    </sheetView>
  </sheetViews>
  <sheetFormatPr defaultRowHeight="15" x14ac:dyDescent="0.25"/>
  <cols>
    <col min="1" max="1" width="10.7109375" style="12" bestFit="1" customWidth="1"/>
    <col min="2" max="2" width="22" style="12" bestFit="1" customWidth="1"/>
    <col min="3" max="3" width="16" style="12" bestFit="1" customWidth="1"/>
    <col min="4" max="4" width="22.85546875" style="12" bestFit="1" customWidth="1"/>
    <col min="5" max="5" width="62" style="12" bestFit="1" customWidth="1"/>
    <col min="6" max="6" width="19.28515625" style="12" bestFit="1" customWidth="1"/>
    <col min="7" max="7" width="17.5703125" style="12" customWidth="1"/>
    <col min="8" max="8" width="72.710937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hidden="1" x14ac:dyDescent="0.25">
      <c r="A2" s="49"/>
      <c r="B2" s="49"/>
      <c r="C2" s="12" t="s">
        <v>8</v>
      </c>
      <c r="D2" s="12" t="s">
        <v>71</v>
      </c>
      <c r="E2" s="12" t="s">
        <v>168</v>
      </c>
      <c r="F2" s="49"/>
      <c r="G2" s="49"/>
      <c r="H2" s="49"/>
      <c r="AA2" s="7"/>
      <c r="AB2" s="7"/>
      <c r="AC2" s="50"/>
      <c r="AD2" s="51"/>
      <c r="AE2" s="52"/>
    </row>
    <row r="3" spans="1:31" x14ac:dyDescent="0.25">
      <c r="A3" s="37"/>
      <c r="G3" s="23"/>
      <c r="H3" s="23"/>
      <c r="AA3" s="7"/>
      <c r="AB3" s="7"/>
      <c r="AC3" s="50"/>
      <c r="AD3" s="51"/>
      <c r="AE3" s="52"/>
    </row>
    <row r="4" spans="1:31" x14ac:dyDescent="0.25">
      <c r="A4" s="37"/>
      <c r="G4" s="23"/>
      <c r="H4" s="23"/>
      <c r="AA4" s="7"/>
      <c r="AB4" s="7"/>
      <c r="AC4" s="50"/>
      <c r="AD4" s="51"/>
      <c r="AE4" s="52"/>
    </row>
    <row r="5" spans="1:31" x14ac:dyDescent="0.25">
      <c r="A5" s="37"/>
      <c r="G5" s="23"/>
      <c r="H5" s="23"/>
      <c r="AA5" s="13" t="s">
        <v>8</v>
      </c>
      <c r="AB5" s="13" t="s">
        <v>15</v>
      </c>
      <c r="AC5" s="16" t="s">
        <v>63</v>
      </c>
      <c r="AD5" s="16" t="s">
        <v>69</v>
      </c>
      <c r="AE5" s="9" t="s">
        <v>58</v>
      </c>
    </row>
    <row r="6" spans="1:31" x14ac:dyDescent="0.25">
      <c r="A6" s="37"/>
      <c r="G6" s="23"/>
      <c r="H6" s="23"/>
      <c r="AA6" s="13" t="s">
        <v>9</v>
      </c>
      <c r="AB6" s="13" t="s">
        <v>16</v>
      </c>
      <c r="AC6" s="16" t="s">
        <v>63</v>
      </c>
      <c r="AD6" s="16" t="s">
        <v>70</v>
      </c>
      <c r="AE6" s="9" t="s">
        <v>59</v>
      </c>
    </row>
    <row r="7" spans="1:31" x14ac:dyDescent="0.25">
      <c r="A7" s="37"/>
      <c r="E7" s="23"/>
      <c r="G7" s="23"/>
      <c r="H7" s="23"/>
      <c r="AA7" s="13"/>
      <c r="AB7" s="13"/>
      <c r="AC7" s="16"/>
      <c r="AD7" s="16"/>
      <c r="AE7" s="9"/>
    </row>
    <row r="8" spans="1:31" x14ac:dyDescent="0.25">
      <c r="A8" s="37"/>
      <c r="G8" s="23"/>
      <c r="H8" s="23"/>
      <c r="AA8" s="13" t="s">
        <v>10</v>
      </c>
      <c r="AB8" s="13" t="s">
        <v>17</v>
      </c>
      <c r="AC8" s="16" t="s">
        <v>63</v>
      </c>
      <c r="AD8" s="16" t="s">
        <v>71</v>
      </c>
      <c r="AE8" s="9" t="s">
        <v>60</v>
      </c>
    </row>
    <row r="9" spans="1:31" x14ac:dyDescent="0.25">
      <c r="A9" s="37"/>
      <c r="G9" s="23"/>
      <c r="H9" s="23"/>
      <c r="AA9" s="13" t="s">
        <v>12</v>
      </c>
      <c r="AB9" s="13" t="s">
        <v>18</v>
      </c>
      <c r="AC9" s="16" t="s">
        <v>63</v>
      </c>
      <c r="AD9" s="16" t="s">
        <v>72</v>
      </c>
      <c r="AE9" s="9" t="s">
        <v>61</v>
      </c>
    </row>
    <row r="10" spans="1:31" x14ac:dyDescent="0.25">
      <c r="A10" s="37"/>
      <c r="G10" s="23"/>
      <c r="H10" s="23"/>
      <c r="AA10" s="13" t="s">
        <v>13</v>
      </c>
      <c r="AB10" s="13" t="s">
        <v>19</v>
      </c>
      <c r="AC10" s="16" t="s">
        <v>64</v>
      </c>
      <c r="AD10" s="16" t="s">
        <v>73</v>
      </c>
      <c r="AE10" s="9" t="s">
        <v>11</v>
      </c>
    </row>
    <row r="11" spans="1:31" x14ac:dyDescent="0.25">
      <c r="A11" s="37"/>
      <c r="G11" s="23"/>
      <c r="H11" s="23"/>
      <c r="AA11" s="13" t="s">
        <v>14</v>
      </c>
      <c r="AB11" s="13" t="s">
        <v>20</v>
      </c>
      <c r="AC11" s="16" t="s">
        <v>65</v>
      </c>
      <c r="AD11" s="16" t="s">
        <v>74</v>
      </c>
      <c r="AE11" s="9" t="s">
        <v>62</v>
      </c>
    </row>
    <row r="12" spans="1:31" x14ac:dyDescent="0.25">
      <c r="A12" s="37"/>
      <c r="G12" s="23"/>
      <c r="H12" s="23"/>
      <c r="AB12" s="13" t="s">
        <v>21</v>
      </c>
      <c r="AC12" s="16" t="s">
        <v>64</v>
      </c>
      <c r="AD12" s="16" t="s">
        <v>75</v>
      </c>
    </row>
    <row r="13" spans="1:31" x14ac:dyDescent="0.25">
      <c r="A13" s="37"/>
      <c r="G13" s="23"/>
      <c r="H13" s="23"/>
      <c r="AB13" s="13" t="s">
        <v>22</v>
      </c>
      <c r="AC13" s="16" t="s">
        <v>64</v>
      </c>
      <c r="AD13" s="16" t="s">
        <v>76</v>
      </c>
    </row>
    <row r="14" spans="1:31" x14ac:dyDescent="0.25">
      <c r="A14" s="37"/>
      <c r="G14" s="23"/>
      <c r="H14" s="23"/>
      <c r="AB14" s="13" t="s">
        <v>23</v>
      </c>
      <c r="AC14" s="16" t="s">
        <v>65</v>
      </c>
      <c r="AD14" s="16" t="s">
        <v>77</v>
      </c>
    </row>
    <row r="15" spans="1:31" x14ac:dyDescent="0.25">
      <c r="A15" s="37"/>
      <c r="G15" s="23"/>
      <c r="H15" s="23"/>
      <c r="AB15" s="13" t="s">
        <v>24</v>
      </c>
      <c r="AC15" s="16" t="s">
        <v>63</v>
      </c>
      <c r="AD15" s="16" t="s">
        <v>78</v>
      </c>
    </row>
    <row r="16" spans="1:31" x14ac:dyDescent="0.25">
      <c r="A16" s="37"/>
      <c r="G16" s="23"/>
      <c r="H16" s="23"/>
      <c r="AB16" s="13" t="s">
        <v>25</v>
      </c>
      <c r="AC16" s="13" t="s">
        <v>66</v>
      </c>
      <c r="AD16" s="8"/>
    </row>
    <row r="17" spans="1:30" x14ac:dyDescent="0.25">
      <c r="A17" s="37"/>
      <c r="G17" s="23"/>
      <c r="H17" s="23"/>
      <c r="AB17" s="13" t="s">
        <v>26</v>
      </c>
      <c r="AC17" s="13" t="s">
        <v>65</v>
      </c>
      <c r="AD17" s="8"/>
    </row>
    <row r="18" spans="1:30" x14ac:dyDescent="0.25">
      <c r="A18" s="37"/>
      <c r="G18" s="23"/>
      <c r="H18" s="23"/>
      <c r="AB18" s="13" t="s">
        <v>27</v>
      </c>
      <c r="AC18" s="13" t="s">
        <v>64</v>
      </c>
      <c r="AD18" s="8"/>
    </row>
    <row r="19" spans="1:30" x14ac:dyDescent="0.25">
      <c r="A19" s="37"/>
      <c r="G19" s="23"/>
      <c r="H19" s="23"/>
      <c r="AB19" s="13" t="s">
        <v>28</v>
      </c>
      <c r="AC19" s="13" t="s">
        <v>63</v>
      </c>
      <c r="AD19" s="8"/>
    </row>
    <row r="20" spans="1:30" x14ac:dyDescent="0.25">
      <c r="A20" s="37"/>
      <c r="G20" s="23"/>
      <c r="H20" s="23"/>
      <c r="AB20" s="13" t="s">
        <v>29</v>
      </c>
      <c r="AC20" s="13" t="s">
        <v>65</v>
      </c>
      <c r="AD20" s="8"/>
    </row>
    <row r="21" spans="1:30" x14ac:dyDescent="0.25">
      <c r="A21" s="37"/>
      <c r="G21" s="23"/>
      <c r="H21" s="23"/>
      <c r="AB21" s="13" t="s">
        <v>30</v>
      </c>
      <c r="AC21" s="13" t="s">
        <v>64</v>
      </c>
      <c r="AD21" s="8"/>
    </row>
    <row r="22" spans="1:30" x14ac:dyDescent="0.25">
      <c r="A22" s="37"/>
      <c r="G22" s="23"/>
      <c r="H22" s="23"/>
      <c r="AB22" s="13" t="s">
        <v>31</v>
      </c>
      <c r="AC22" s="13" t="s">
        <v>63</v>
      </c>
      <c r="AD22" s="8"/>
    </row>
    <row r="23" spans="1:30" x14ac:dyDescent="0.25">
      <c r="A23" s="37"/>
      <c r="G23" s="23"/>
      <c r="H23" s="23"/>
      <c r="AB23" s="13" t="s">
        <v>32</v>
      </c>
      <c r="AC23" s="13" t="s">
        <v>64</v>
      </c>
      <c r="AD23" s="8"/>
    </row>
    <row r="24" spans="1:30" x14ac:dyDescent="0.25">
      <c r="A24" s="37"/>
      <c r="G24" s="23"/>
      <c r="H24" s="23"/>
      <c r="AB24" s="13" t="s">
        <v>33</v>
      </c>
      <c r="AC24" s="13" t="s">
        <v>63</v>
      </c>
      <c r="AD24" s="8"/>
    </row>
    <row r="25" spans="1:30" x14ac:dyDescent="0.25">
      <c r="A25" s="37"/>
      <c r="G25" s="23"/>
      <c r="H25" s="23"/>
      <c r="AB25" s="13" t="s">
        <v>34</v>
      </c>
      <c r="AC25" s="13" t="s">
        <v>63</v>
      </c>
      <c r="AD25" s="8"/>
    </row>
    <row r="26" spans="1:30" x14ac:dyDescent="0.25">
      <c r="A26" s="37"/>
      <c r="F26" s="23"/>
      <c r="G26" s="23"/>
      <c r="H26" s="23"/>
      <c r="I26" s="23"/>
      <c r="J26" s="23"/>
      <c r="K26" s="23"/>
      <c r="L26" s="23"/>
      <c r="M26" s="23"/>
      <c r="N26" s="23"/>
      <c r="O26" s="23"/>
      <c r="P26" s="23"/>
      <c r="Q26" s="23"/>
      <c r="R26" s="23"/>
      <c r="AB26" s="13" t="s">
        <v>35</v>
      </c>
      <c r="AC26" s="13" t="s">
        <v>65</v>
      </c>
      <c r="AD26" s="8"/>
    </row>
    <row r="27" spans="1:30" x14ac:dyDescent="0.25">
      <c r="A27" s="37"/>
      <c r="G27" s="23"/>
      <c r="H27" s="23"/>
      <c r="AB27" s="13" t="s">
        <v>36</v>
      </c>
      <c r="AC27" s="13" t="s">
        <v>64</v>
      </c>
      <c r="AD27" s="8"/>
    </row>
    <row r="28" spans="1:30" x14ac:dyDescent="0.25">
      <c r="A28" s="37"/>
      <c r="E28" s="32"/>
      <c r="G28" s="23"/>
      <c r="H28" s="23"/>
      <c r="AB28" s="13" t="s">
        <v>37</v>
      </c>
      <c r="AC28" s="13" t="s">
        <v>66</v>
      </c>
      <c r="AD28" s="8"/>
    </row>
    <row r="29" spans="1:30" x14ac:dyDescent="0.25">
      <c r="A29" s="37"/>
      <c r="E29" s="32"/>
      <c r="G29" s="23"/>
      <c r="H29" s="23"/>
      <c r="AB29" s="13" t="s">
        <v>38</v>
      </c>
      <c r="AC29" s="13" t="s">
        <v>67</v>
      </c>
      <c r="AD29" s="8"/>
    </row>
    <row r="30" spans="1:30" x14ac:dyDescent="0.25">
      <c r="A30" s="37"/>
      <c r="E30" s="32"/>
      <c r="G30" s="23"/>
      <c r="H30" s="23"/>
      <c r="AB30" s="13" t="s">
        <v>40</v>
      </c>
      <c r="AC30" s="13" t="s">
        <v>64</v>
      </c>
      <c r="AD30" s="8"/>
    </row>
    <row r="31" spans="1:30" x14ac:dyDescent="0.25">
      <c r="A31" s="37"/>
      <c r="E31" s="23"/>
      <c r="G31" s="23"/>
      <c r="H31" s="23"/>
      <c r="AB31" s="13" t="s">
        <v>41</v>
      </c>
      <c r="AC31" s="13" t="s">
        <v>67</v>
      </c>
      <c r="AD31" s="8"/>
    </row>
    <row r="32" spans="1:30" x14ac:dyDescent="0.25">
      <c r="A32" s="37"/>
      <c r="G32" s="23"/>
      <c r="H32" s="23"/>
      <c r="AB32" s="14" t="s">
        <v>42</v>
      </c>
      <c r="AC32" s="13" t="s">
        <v>66</v>
      </c>
      <c r="AD32" s="8"/>
    </row>
    <row r="33" spans="1:30" x14ac:dyDescent="0.25">
      <c r="A33" s="37"/>
      <c r="G33" s="23"/>
      <c r="H33" s="23"/>
      <c r="AB33" s="14" t="s">
        <v>43</v>
      </c>
      <c r="AC33" s="13" t="s">
        <v>64</v>
      </c>
      <c r="AD33" s="8"/>
    </row>
    <row r="34" spans="1:30" x14ac:dyDescent="0.25">
      <c r="A34" s="37"/>
      <c r="E34" s="23"/>
      <c r="G34" s="23"/>
      <c r="H34" s="23"/>
      <c r="AB34" s="15" t="s">
        <v>44</v>
      </c>
      <c r="AC34" s="13" t="s">
        <v>64</v>
      </c>
      <c r="AD34" s="8"/>
    </row>
    <row r="35" spans="1:30" x14ac:dyDescent="0.25">
      <c r="A35" s="37"/>
      <c r="E35" s="8"/>
      <c r="G35" s="23"/>
      <c r="H35" s="23"/>
      <c r="AB35" s="14" t="s">
        <v>45</v>
      </c>
      <c r="AC35" s="13" t="s">
        <v>64</v>
      </c>
      <c r="AD35" s="8"/>
    </row>
    <row r="36" spans="1:30" x14ac:dyDescent="0.25">
      <c r="A36" s="37"/>
      <c r="G36" s="23"/>
      <c r="H36" s="23"/>
      <c r="AB36" s="15" t="s">
        <v>46</v>
      </c>
      <c r="AC36" s="13" t="s">
        <v>64</v>
      </c>
      <c r="AD36" s="8"/>
    </row>
    <row r="37" spans="1:30" x14ac:dyDescent="0.25">
      <c r="A37" s="37"/>
      <c r="G37" s="23"/>
      <c r="H37" s="23"/>
      <c r="AB37" s="14" t="s">
        <v>47</v>
      </c>
      <c r="AC37" s="13" t="s">
        <v>64</v>
      </c>
      <c r="AD37" s="8"/>
    </row>
    <row r="38" spans="1:30" x14ac:dyDescent="0.25">
      <c r="A38" s="37"/>
      <c r="G38" s="23"/>
      <c r="H38" s="23"/>
      <c r="AB38" s="15" t="s">
        <v>48</v>
      </c>
      <c r="AC38" s="13" t="s">
        <v>64</v>
      </c>
      <c r="AD38" s="8"/>
    </row>
    <row r="39" spans="1:30" x14ac:dyDescent="0.25">
      <c r="A39" s="37"/>
      <c r="G39" s="23"/>
      <c r="H39" s="23"/>
      <c r="AB39" s="14" t="s">
        <v>49</v>
      </c>
      <c r="AC39" s="13" t="s">
        <v>67</v>
      </c>
      <c r="AD39" s="8"/>
    </row>
    <row r="40" spans="1:30" x14ac:dyDescent="0.25">
      <c r="A40" s="37"/>
      <c r="G40" s="23"/>
      <c r="H40" s="23"/>
      <c r="AB40" s="15" t="s">
        <v>50</v>
      </c>
      <c r="AC40" s="13" t="s">
        <v>66</v>
      </c>
      <c r="AD40" s="8"/>
    </row>
    <row r="41" spans="1:30" x14ac:dyDescent="0.25">
      <c r="A41" s="37"/>
      <c r="G41" s="23"/>
      <c r="H41" s="23"/>
      <c r="AB41" s="14" t="s">
        <v>51</v>
      </c>
      <c r="AC41" s="13" t="s">
        <v>66</v>
      </c>
      <c r="AD41" s="8"/>
    </row>
    <row r="42" spans="1:30" x14ac:dyDescent="0.25">
      <c r="A42" s="37"/>
      <c r="G42" s="23"/>
      <c r="H42" s="23"/>
      <c r="AB42" s="6" t="s">
        <v>53</v>
      </c>
      <c r="AC42" s="13" t="s">
        <v>63</v>
      </c>
      <c r="AD42" s="8"/>
    </row>
    <row r="43" spans="1:30" x14ac:dyDescent="0.25">
      <c r="A43" s="37"/>
      <c r="G43" s="23"/>
      <c r="H43" s="23"/>
      <c r="AB43" s="6" t="s">
        <v>54</v>
      </c>
      <c r="AC43" s="13" t="s">
        <v>65</v>
      </c>
      <c r="AD43" s="8"/>
    </row>
    <row r="44" spans="1:30" x14ac:dyDescent="0.25">
      <c r="A44" s="37"/>
      <c r="G44" s="23"/>
      <c r="H44" s="23"/>
      <c r="AB44" s="13" t="s">
        <v>55</v>
      </c>
      <c r="AC44" s="13" t="s">
        <v>64</v>
      </c>
      <c r="AD44" s="8"/>
    </row>
    <row r="45" spans="1:30" x14ac:dyDescent="0.25">
      <c r="A45" s="37"/>
      <c r="G45" s="23"/>
      <c r="H45" s="23"/>
      <c r="AB45" s="13" t="s">
        <v>56</v>
      </c>
      <c r="AC45" s="13" t="s">
        <v>67</v>
      </c>
      <c r="AD45" s="8"/>
    </row>
    <row r="46" spans="1:30" x14ac:dyDescent="0.25">
      <c r="A46" s="37"/>
      <c r="G46" s="23"/>
      <c r="H46" s="23"/>
      <c r="AB46" s="13" t="s">
        <v>40</v>
      </c>
      <c r="AC46" s="13" t="s">
        <v>64</v>
      </c>
      <c r="AD46" s="8"/>
    </row>
    <row r="47" spans="1:30" x14ac:dyDescent="0.25">
      <c r="A47" s="37"/>
      <c r="G47" s="23"/>
      <c r="H47" s="23"/>
      <c r="AB47" s="13" t="s">
        <v>57</v>
      </c>
      <c r="AC47" s="13" t="s">
        <v>64</v>
      </c>
      <c r="AD47" s="8"/>
    </row>
    <row r="48" spans="1:30" x14ac:dyDescent="0.25">
      <c r="A48" s="37"/>
      <c r="G48" s="23"/>
      <c r="H48" s="23"/>
      <c r="AD48" s="8"/>
    </row>
    <row r="49" spans="1:30" x14ac:dyDescent="0.25">
      <c r="A49" s="37"/>
      <c r="G49" s="23"/>
      <c r="H49" s="23"/>
      <c r="AD49" s="8"/>
    </row>
    <row r="50" spans="1:30" x14ac:dyDescent="0.25">
      <c r="A50" s="37"/>
      <c r="G50" s="23"/>
      <c r="H50" s="23"/>
      <c r="AD50" s="8"/>
    </row>
    <row r="51" spans="1:30" x14ac:dyDescent="0.25">
      <c r="A51" s="37"/>
      <c r="G51" s="23"/>
      <c r="H51" s="23"/>
    </row>
    <row r="52" spans="1:30" x14ac:dyDescent="0.25">
      <c r="A52" s="37"/>
      <c r="G52" s="23"/>
      <c r="H52" s="23"/>
      <c r="AB52" s="15" t="s">
        <v>48</v>
      </c>
      <c r="AC52" s="13" t="s">
        <v>64</v>
      </c>
      <c r="AD52" s="8"/>
    </row>
    <row r="53" spans="1:30" x14ac:dyDescent="0.25">
      <c r="A53" s="37"/>
      <c r="G53" s="23"/>
      <c r="H53" s="23"/>
      <c r="AB53" s="14" t="s">
        <v>49</v>
      </c>
      <c r="AC53" s="13" t="s">
        <v>67</v>
      </c>
      <c r="AD53" s="8"/>
    </row>
    <row r="54" spans="1:30" x14ac:dyDescent="0.25">
      <c r="A54" s="37"/>
      <c r="G54" s="23"/>
      <c r="H54" s="23"/>
      <c r="AB54" s="15" t="s">
        <v>50</v>
      </c>
      <c r="AC54" s="13" t="s">
        <v>66</v>
      </c>
      <c r="AD54" s="8"/>
    </row>
    <row r="55" spans="1:30" x14ac:dyDescent="0.25">
      <c r="A55" s="37"/>
      <c r="G55" s="23"/>
      <c r="H55" s="23"/>
      <c r="AB55" s="14" t="s">
        <v>51</v>
      </c>
      <c r="AC55" s="13" t="s">
        <v>66</v>
      </c>
      <c r="AD55" s="8"/>
    </row>
    <row r="56" spans="1:30" x14ac:dyDescent="0.25">
      <c r="A56" s="37"/>
      <c r="G56" s="23"/>
      <c r="H56" s="23"/>
      <c r="AB56" s="1" t="s">
        <v>52</v>
      </c>
      <c r="AC56" s="13" t="s">
        <v>63</v>
      </c>
      <c r="AD56" s="8"/>
    </row>
    <row r="57" spans="1:30" x14ac:dyDescent="0.25">
      <c r="A57" s="37"/>
      <c r="G57" s="23"/>
      <c r="H57" s="23"/>
      <c r="AB57" s="6" t="s">
        <v>53</v>
      </c>
      <c r="AC57" s="13" t="s">
        <v>63</v>
      </c>
      <c r="AD57" s="8"/>
    </row>
    <row r="58" spans="1:30" x14ac:dyDescent="0.25">
      <c r="A58" s="37"/>
      <c r="G58" s="23"/>
      <c r="H58" s="23"/>
      <c r="AB58" s="6" t="s">
        <v>54</v>
      </c>
      <c r="AC58" s="13" t="s">
        <v>65</v>
      </c>
      <c r="AD58" s="8"/>
    </row>
    <row r="59" spans="1:30" x14ac:dyDescent="0.25">
      <c r="A59" s="37"/>
      <c r="G59" s="23"/>
      <c r="H59" s="23"/>
      <c r="AB59" s="13" t="s">
        <v>55</v>
      </c>
      <c r="AC59" s="13" t="s">
        <v>64</v>
      </c>
      <c r="AD59" s="8"/>
    </row>
    <row r="60" spans="1:30" x14ac:dyDescent="0.25">
      <c r="A60" s="37"/>
      <c r="G60" s="23"/>
      <c r="H60" s="23"/>
      <c r="AB60" s="13" t="s">
        <v>56</v>
      </c>
      <c r="AC60" s="13" t="s">
        <v>67</v>
      </c>
      <c r="AD60" s="8"/>
    </row>
    <row r="61" spans="1:30" x14ac:dyDescent="0.25">
      <c r="A61" s="37"/>
      <c r="G61" s="23"/>
      <c r="H61" s="23"/>
      <c r="AB61" s="13" t="s">
        <v>40</v>
      </c>
      <c r="AC61" s="13" t="s">
        <v>64</v>
      </c>
      <c r="AD61" s="8"/>
    </row>
    <row r="62" spans="1:30" x14ac:dyDescent="0.25">
      <c r="A62" s="37"/>
      <c r="G62" s="23"/>
      <c r="H62" s="23"/>
      <c r="AB62" s="13" t="s">
        <v>57</v>
      </c>
      <c r="AC62" s="13" t="s">
        <v>64</v>
      </c>
      <c r="AD62" s="8"/>
    </row>
    <row r="63" spans="1:30" x14ac:dyDescent="0.25">
      <c r="A63" s="37"/>
      <c r="G63" s="23"/>
      <c r="H63" s="23"/>
      <c r="AD63" s="8"/>
    </row>
    <row r="64" spans="1:30" x14ac:dyDescent="0.25">
      <c r="A64" s="37"/>
      <c r="G64" s="23"/>
      <c r="H64" s="23"/>
      <c r="AD64" s="8"/>
    </row>
    <row r="65" spans="1:30" x14ac:dyDescent="0.25">
      <c r="A65" s="37"/>
      <c r="G65" s="23"/>
      <c r="H65" s="23"/>
      <c r="AD65" s="8"/>
    </row>
    <row r="66" spans="1:30" x14ac:dyDescent="0.25">
      <c r="A66" s="37"/>
      <c r="G66" s="23"/>
      <c r="H66" s="23"/>
    </row>
    <row r="67" spans="1:30" x14ac:dyDescent="0.25">
      <c r="A67" s="37"/>
      <c r="G67" s="23"/>
    </row>
    <row r="68" spans="1:30" x14ac:dyDescent="0.25">
      <c r="A68" s="37"/>
      <c r="G68" s="23"/>
    </row>
    <row r="69" spans="1:30" x14ac:dyDescent="0.25">
      <c r="A69" s="37"/>
      <c r="G69" s="23"/>
    </row>
    <row r="70" spans="1:30" x14ac:dyDescent="0.25">
      <c r="A70" s="37"/>
      <c r="G70" s="23"/>
    </row>
    <row r="71" spans="1:30" x14ac:dyDescent="0.25">
      <c r="A71" s="37"/>
      <c r="G71" s="23"/>
    </row>
    <row r="72" spans="1:30" x14ac:dyDescent="0.25">
      <c r="A72" s="37"/>
      <c r="G72" s="23"/>
      <c r="H72" s="23"/>
    </row>
    <row r="73" spans="1:30" x14ac:dyDescent="0.25">
      <c r="A73" s="37"/>
      <c r="G73" s="23"/>
      <c r="H73" s="23"/>
    </row>
    <row r="74" spans="1:30" x14ac:dyDescent="0.25">
      <c r="A74" s="37"/>
      <c r="G74" s="23"/>
      <c r="H74" s="23"/>
    </row>
    <row r="75" spans="1:30" x14ac:dyDescent="0.25">
      <c r="A75" s="37"/>
      <c r="G75" s="23"/>
      <c r="H75" s="23"/>
    </row>
    <row r="76" spans="1:30" x14ac:dyDescent="0.25">
      <c r="A76" s="37"/>
      <c r="G76" s="23"/>
      <c r="H76" s="23"/>
    </row>
    <row r="77" spans="1:30" x14ac:dyDescent="0.25">
      <c r="A77" s="37"/>
      <c r="G77" s="23"/>
      <c r="H77" s="23"/>
    </row>
    <row r="78" spans="1:30" x14ac:dyDescent="0.25">
      <c r="A78" s="30"/>
      <c r="G78" s="23"/>
      <c r="H78" s="23"/>
    </row>
    <row r="79" spans="1:30" x14ac:dyDescent="0.25">
      <c r="A79" s="30"/>
      <c r="G79" s="23"/>
      <c r="H79" s="23"/>
    </row>
    <row r="80" spans="1:30" x14ac:dyDescent="0.25">
      <c r="A80" s="30"/>
      <c r="G80" s="23"/>
      <c r="H80" s="23"/>
    </row>
    <row r="81" spans="1:8" x14ac:dyDescent="0.25">
      <c r="A81" s="30"/>
      <c r="G81" s="23"/>
      <c r="H81" s="23"/>
    </row>
    <row r="82" spans="1:8" x14ac:dyDescent="0.25">
      <c r="A82" s="37"/>
      <c r="G82" s="23"/>
      <c r="H82" s="23"/>
    </row>
    <row r="83" spans="1:8" x14ac:dyDescent="0.25">
      <c r="A83" s="37"/>
      <c r="G83" s="23"/>
      <c r="H83" s="23"/>
    </row>
    <row r="84" spans="1:8" x14ac:dyDescent="0.25">
      <c r="A84" s="37"/>
      <c r="G84" s="23"/>
      <c r="H84" s="23"/>
    </row>
    <row r="85" spans="1:8" x14ac:dyDescent="0.25">
      <c r="A85" s="37"/>
      <c r="G85" s="23"/>
      <c r="H85" s="23"/>
    </row>
    <row r="86" spans="1:8" x14ac:dyDescent="0.25">
      <c r="A86" s="37"/>
      <c r="G86" s="23"/>
      <c r="H86" s="23"/>
    </row>
    <row r="87" spans="1:8" x14ac:dyDescent="0.25">
      <c r="A87" s="37"/>
      <c r="G87" s="23"/>
      <c r="H87" s="23"/>
    </row>
    <row r="88" spans="1:8" x14ac:dyDescent="0.25">
      <c r="A88" s="37"/>
      <c r="G88" s="23"/>
    </row>
    <row r="89" spans="1:8" x14ac:dyDescent="0.25">
      <c r="A89" s="37"/>
      <c r="G89" s="23"/>
    </row>
    <row r="90" spans="1:8" x14ac:dyDescent="0.25">
      <c r="A90" s="37"/>
      <c r="G90" s="23"/>
    </row>
    <row r="91" spans="1:8" x14ac:dyDescent="0.25">
      <c r="A91" s="37"/>
      <c r="G91" s="23"/>
    </row>
    <row r="92" spans="1:8" x14ac:dyDescent="0.25">
      <c r="A92" s="37"/>
      <c r="G92" s="23"/>
    </row>
    <row r="93" spans="1:8" x14ac:dyDescent="0.25">
      <c r="A93" s="37"/>
      <c r="G93" s="23"/>
    </row>
    <row r="94" spans="1:8" x14ac:dyDescent="0.25">
      <c r="A94" s="37"/>
      <c r="G94" s="23"/>
    </row>
    <row r="95" spans="1:8" x14ac:dyDescent="0.25">
      <c r="A95" s="37"/>
      <c r="G95" s="23"/>
    </row>
    <row r="96" spans="1:8" x14ac:dyDescent="0.25">
      <c r="A96" s="37"/>
      <c r="G96" s="23"/>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2" spans="6:6" x14ac:dyDescent="0.25">
      <c r="F662" s="12" t="str">
        <f>IFERROR(VLOOKUP(E662,'Data sheet'!$B:$C,2,0),"")</f>
        <v/>
      </c>
    </row>
    <row r="663" spans="6:6" x14ac:dyDescent="0.25">
      <c r="F663" s="12" t="str">
        <f>IFERROR(VLOOKUP(E663,'Data sheet'!$B:$C,2,0),"")</f>
        <v/>
      </c>
    </row>
    <row r="664" spans="6:6" x14ac:dyDescent="0.25">
      <c r="F664" s="12" t="str">
        <f>IFERROR(VLOOKUP(E664,'Data sheet'!$B:$C,2,0),"")</f>
        <v/>
      </c>
    </row>
    <row r="665" spans="6:6" x14ac:dyDescent="0.25">
      <c r="F665" s="12" t="str">
        <f>IFERROR(VLOOKUP(E665,'Data sheet'!$B:$C,2,0),"")</f>
        <v/>
      </c>
    </row>
    <row r="666" spans="6:6" x14ac:dyDescent="0.25">
      <c r="F666" s="12" t="str">
        <f>IFERROR(VLOOKUP(E666,'Data sheet'!$B:$C,2,0),"")</f>
        <v/>
      </c>
    </row>
    <row r="667" spans="6:6" x14ac:dyDescent="0.25">
      <c r="F667" s="12" t="str">
        <f>IFERROR(VLOOKUP(E667,'Data sheet'!$B:$C,2,0),"")</f>
        <v/>
      </c>
    </row>
    <row r="668" spans="6:6" x14ac:dyDescent="0.25">
      <c r="F668" s="12" t="str">
        <f>IFERROR(VLOOKUP(E668,'Data sheet'!$B:$C,2,0),"")</f>
        <v/>
      </c>
    </row>
    <row r="669" spans="6:6" x14ac:dyDescent="0.25">
      <c r="F669" s="12" t="str">
        <f>IFERROR(VLOOKUP(E669,'Data sheet'!$B:$C,2,0),"")</f>
        <v/>
      </c>
    </row>
    <row r="670" spans="6:6" x14ac:dyDescent="0.25">
      <c r="F670" s="12" t="str">
        <f>IFERROR(VLOOKUP(E670,'Data sheet'!$B:$C,2,0),"")</f>
        <v/>
      </c>
    </row>
    <row r="671" spans="6:6" x14ac:dyDescent="0.25">
      <c r="F671" s="12" t="str">
        <f>IFERROR(VLOOKUP(E671,'Data sheet'!$B:$C,2,0),"")</f>
        <v/>
      </c>
    </row>
    <row r="672" spans="6:6" x14ac:dyDescent="0.25">
      <c r="F672" s="12" t="str">
        <f>IFERROR(VLOOKUP(E672,'Data sheet'!$B:$C,2,0),"")</f>
        <v/>
      </c>
    </row>
    <row r="673" spans="6:6" x14ac:dyDescent="0.25">
      <c r="F673" s="12" t="str">
        <f>IFERROR(VLOOKUP(E673,'Data sheet'!$B:$C,2,0),"")</f>
        <v/>
      </c>
    </row>
    <row r="674" spans="6:6" x14ac:dyDescent="0.25">
      <c r="F674" s="12" t="str">
        <f>IFERROR(VLOOKUP(E674,'Data sheet'!$B:$C,2,0),"")</f>
        <v/>
      </c>
    </row>
    <row r="675" spans="6:6" x14ac:dyDescent="0.25">
      <c r="F675" s="12" t="str">
        <f>IFERROR(VLOOKUP(E675,'Data sheet'!$B:$C,2,0),"")</f>
        <v/>
      </c>
    </row>
    <row r="676" spans="6:6" x14ac:dyDescent="0.25">
      <c r="F676" s="12" t="str">
        <f>IFERROR(VLOOKUP(E676,'Data sheet'!$B:$C,2,0),"")</f>
        <v/>
      </c>
    </row>
    <row r="677" spans="6:6" x14ac:dyDescent="0.25">
      <c r="F677" s="12" t="str">
        <f>IFERROR(VLOOKUP(E677,'Data sheet'!$B:$C,2,0),"")</f>
        <v/>
      </c>
    </row>
    <row r="678" spans="6:6" x14ac:dyDescent="0.25">
      <c r="F678" s="12" t="str">
        <f>IFERROR(VLOOKUP(E678,'Data sheet'!$B:$C,2,0),"")</f>
        <v/>
      </c>
    </row>
    <row r="679" spans="6:6" x14ac:dyDescent="0.25">
      <c r="F679" s="12" t="str">
        <f>IFERROR(VLOOKUP(E679,'Data sheet'!$B:$C,2,0),"")</f>
        <v/>
      </c>
    </row>
    <row r="680" spans="6:6" x14ac:dyDescent="0.25">
      <c r="F680" s="12" t="str">
        <f>IFERROR(VLOOKUP(E680,'Data sheet'!$B:$C,2,0),"")</f>
        <v/>
      </c>
    </row>
    <row r="681" spans="6:6" x14ac:dyDescent="0.25">
      <c r="F681" s="12" t="str">
        <f>IFERROR(VLOOKUP(E681,'Data sheet'!$B:$C,2,0),"")</f>
        <v/>
      </c>
    </row>
    <row r="682" spans="6:6" x14ac:dyDescent="0.25">
      <c r="F682" s="12" t="str">
        <f>IFERROR(VLOOKUP(E682,'Data sheet'!$B:$C,2,0),"")</f>
        <v/>
      </c>
    </row>
    <row r="683" spans="6:6" x14ac:dyDescent="0.25">
      <c r="F683" s="12" t="str">
        <f>IFERROR(VLOOKUP(E683,'Data sheet'!$B:$C,2,0),"")</f>
        <v/>
      </c>
    </row>
    <row r="684" spans="6:6" x14ac:dyDescent="0.25">
      <c r="F684" s="12" t="str">
        <f>IFERROR(VLOOKUP(E684,'Data sheet'!$B:$C,2,0),"")</f>
        <v/>
      </c>
    </row>
    <row r="685" spans="6:6" x14ac:dyDescent="0.25">
      <c r="F685" s="12" t="str">
        <f>IFERROR(VLOOKUP(E685,'Data sheet'!$B:$C,2,0),"")</f>
        <v/>
      </c>
    </row>
    <row r="686" spans="6:6" x14ac:dyDescent="0.25">
      <c r="F686" s="12" t="str">
        <f>IFERROR(VLOOKUP(E686,'Data sheet'!$B:$C,2,0),"")</f>
        <v/>
      </c>
    </row>
    <row r="687" spans="6:6" x14ac:dyDescent="0.25">
      <c r="F687" s="12" t="str">
        <f>IFERROR(VLOOKUP(E687,'Data sheet'!$B:$C,2,0),"")</f>
        <v/>
      </c>
    </row>
    <row r="688" spans="6:6" x14ac:dyDescent="0.25">
      <c r="F688" s="12" t="str">
        <f>IFERROR(VLOOKUP(E688,'Data sheet'!$B:$C,2,0),"")</f>
        <v/>
      </c>
    </row>
    <row r="689" spans="6:6" x14ac:dyDescent="0.25">
      <c r="F689" s="12" t="str">
        <f>IFERROR(VLOOKUP(E689,'Data sheet'!$B:$C,2,0),"")</f>
        <v/>
      </c>
    </row>
    <row r="690" spans="6:6" x14ac:dyDescent="0.25">
      <c r="F690" s="12" t="str">
        <f>IFERROR(VLOOKUP(E690,'Data sheet'!$B:$C,2,0),"")</f>
        <v/>
      </c>
    </row>
    <row r="691" spans="6:6" x14ac:dyDescent="0.25">
      <c r="F691" s="12" t="str">
        <f>IFERROR(VLOOKUP(E691,'Data sheet'!$B:$C,2,0),"")</f>
        <v/>
      </c>
    </row>
    <row r="692" spans="6:6" x14ac:dyDescent="0.25">
      <c r="F692" s="12" t="str">
        <f>IFERROR(VLOOKUP(E692,'Data sheet'!$B:$C,2,0),"")</f>
        <v/>
      </c>
    </row>
    <row r="693" spans="6:6" x14ac:dyDescent="0.25">
      <c r="F693" s="12" t="str">
        <f>IFERROR(VLOOKUP(E693,'Data sheet'!$B:$C,2,0),"")</f>
        <v/>
      </c>
    </row>
    <row r="694" spans="6:6" x14ac:dyDescent="0.25">
      <c r="F694" s="12" t="str">
        <f>IFERROR(VLOOKUP(E694,'Data sheet'!$B:$C,2,0),"")</f>
        <v/>
      </c>
    </row>
    <row r="695" spans="6:6" x14ac:dyDescent="0.25">
      <c r="F695" s="12" t="str">
        <f>IFERROR(VLOOKUP(E695,'Data sheet'!$B:$C,2,0),"")</f>
        <v/>
      </c>
    </row>
    <row r="696" spans="6:6" x14ac:dyDescent="0.25">
      <c r="F696" s="12" t="str">
        <f>IFERROR(VLOOKUP(E696,'Data sheet'!$B:$C,2,0),"")</f>
        <v/>
      </c>
    </row>
    <row r="697" spans="6:6" x14ac:dyDescent="0.25">
      <c r="F697" s="12" t="str">
        <f>IFERROR(VLOOKUP(E697,'Data sheet'!$B:$C,2,0),"")</f>
        <v/>
      </c>
    </row>
    <row r="698" spans="6:6" x14ac:dyDescent="0.25">
      <c r="F698" s="12" t="str">
        <f>IFERROR(VLOOKUP(E698,'Data sheet'!$B:$C,2,0),"")</f>
        <v/>
      </c>
    </row>
    <row r="699" spans="6:6" x14ac:dyDescent="0.25">
      <c r="F699" s="12" t="str">
        <f>IFERROR(VLOOKUP(E699,'Data sheet'!$B:$C,2,0),"")</f>
        <v/>
      </c>
    </row>
    <row r="700" spans="6:6" x14ac:dyDescent="0.25">
      <c r="F700" s="12" t="str">
        <f>IFERROR(VLOOKUP(E700,'Data sheet'!$B:$C,2,0),"")</f>
        <v/>
      </c>
    </row>
    <row r="701" spans="6:6" x14ac:dyDescent="0.25">
      <c r="F701" s="12" t="str">
        <f>IFERROR(VLOOKUP(E701,'Data sheet'!$B:$C,2,0),"")</f>
        <v/>
      </c>
    </row>
    <row r="702" spans="6:6" x14ac:dyDescent="0.25">
      <c r="F702" s="12" t="str">
        <f>IFERROR(VLOOKUP(E702,'Data sheet'!$B:$C,2,0),"")</f>
        <v/>
      </c>
    </row>
    <row r="703" spans="6:6" x14ac:dyDescent="0.25">
      <c r="F703" s="12" t="str">
        <f>IFERROR(VLOOKUP(E703,'Data sheet'!$B:$C,2,0),"")</f>
        <v/>
      </c>
    </row>
    <row r="704" spans="6:6" x14ac:dyDescent="0.25">
      <c r="F704" s="12" t="str">
        <f>IFERROR(VLOOKUP(E704,'Data sheet'!$B:$C,2,0),"")</f>
        <v/>
      </c>
    </row>
    <row r="705" spans="6:6" x14ac:dyDescent="0.25">
      <c r="F705" s="12" t="str">
        <f>IFERROR(VLOOKUP(E705,'Data sheet'!$B:$C,2,0),"")</f>
        <v/>
      </c>
    </row>
    <row r="706" spans="6:6" x14ac:dyDescent="0.25">
      <c r="F706" s="12" t="str">
        <f>IFERROR(VLOOKUP(E706,'Data sheet'!$B:$C,2,0),"")</f>
        <v/>
      </c>
    </row>
    <row r="707" spans="6:6" x14ac:dyDescent="0.25">
      <c r="F707" s="12" t="str">
        <f>IFERROR(VLOOKUP(E707,'Data sheet'!$B:$C,2,0),"")</f>
        <v/>
      </c>
    </row>
    <row r="708" spans="6:6" x14ac:dyDescent="0.25">
      <c r="F708" s="12" t="str">
        <f>IFERROR(VLOOKUP(E708,'Data sheet'!$B:$C,2,0),"")</f>
        <v/>
      </c>
    </row>
    <row r="709" spans="6:6" x14ac:dyDescent="0.25">
      <c r="F709" s="12" t="str">
        <f>IFERROR(VLOOKUP(E709,'Data sheet'!$B:$C,2,0),"")</f>
        <v/>
      </c>
    </row>
    <row r="710" spans="6:6" x14ac:dyDescent="0.25">
      <c r="F710" s="12" t="str">
        <f>IFERROR(VLOOKUP(E710,'Data sheet'!$B:$C,2,0),"")</f>
        <v/>
      </c>
    </row>
    <row r="711" spans="6:6" x14ac:dyDescent="0.25">
      <c r="F711" s="12" t="str">
        <f>IFERROR(VLOOKUP(E711,'Data sheet'!$B:$C,2,0),"")</f>
        <v/>
      </c>
    </row>
    <row r="712" spans="6:6" x14ac:dyDescent="0.25">
      <c r="F712" s="12" t="str">
        <f>IFERROR(VLOOKUP(E712,'Data sheet'!$B:$C,2,0),"")</f>
        <v/>
      </c>
    </row>
    <row r="713" spans="6:6" x14ac:dyDescent="0.25">
      <c r="F713" s="12" t="str">
        <f>IFERROR(VLOOKUP(E713,'Data sheet'!$B:$C,2,0),"")</f>
        <v/>
      </c>
    </row>
    <row r="714" spans="6:6" x14ac:dyDescent="0.25">
      <c r="F714" s="12" t="str">
        <f>IFERROR(VLOOKUP(E714,'Data sheet'!$B:$C,2,0),"")</f>
        <v/>
      </c>
    </row>
    <row r="715" spans="6:6" x14ac:dyDescent="0.25">
      <c r="F715" s="12" t="str">
        <f>IFERROR(VLOOKUP(E715,'Data sheet'!$B:$C,2,0),"")</f>
        <v/>
      </c>
    </row>
    <row r="716" spans="6:6" x14ac:dyDescent="0.25">
      <c r="F716" s="12" t="str">
        <f>IFERROR(VLOOKUP(E716,'Data sheet'!$B:$C,2,0),"")</f>
        <v/>
      </c>
    </row>
    <row r="717" spans="6:6" x14ac:dyDescent="0.25">
      <c r="F717" s="12" t="str">
        <f>IFERROR(VLOOKUP(E717,'Data sheet'!$B:$C,2,0),"")</f>
        <v/>
      </c>
    </row>
    <row r="718" spans="6:6" x14ac:dyDescent="0.25">
      <c r="F718" s="12" t="str">
        <f>IFERROR(VLOOKUP(E718,'Data sheet'!$B:$C,2,0),"")</f>
        <v/>
      </c>
    </row>
    <row r="719" spans="6:6" x14ac:dyDescent="0.25">
      <c r="F719" s="12" t="str">
        <f>IFERROR(VLOOKUP(E719,'Data sheet'!$B:$C,2,0),"")</f>
        <v/>
      </c>
    </row>
    <row r="720" spans="6:6" x14ac:dyDescent="0.25">
      <c r="F720" s="12" t="str">
        <f>IFERROR(VLOOKUP(E720,'Data sheet'!$B:$C,2,0),"")</f>
        <v/>
      </c>
    </row>
    <row r="721" spans="6:6" x14ac:dyDescent="0.25">
      <c r="F721" s="12" t="str">
        <f>IFERROR(VLOOKUP(E721,'Data sheet'!$B:$C,2,0),"")</f>
        <v/>
      </c>
    </row>
    <row r="722" spans="6:6" x14ac:dyDescent="0.25">
      <c r="F722" s="12" t="str">
        <f>IFERROR(VLOOKUP(E722,'Data sheet'!$B:$C,2,0),"")</f>
        <v/>
      </c>
    </row>
    <row r="723" spans="6:6" x14ac:dyDescent="0.25">
      <c r="F723" s="12" t="str">
        <f>IFERROR(VLOOKUP(E723,'Data sheet'!$B:$C,2,0),"")</f>
        <v/>
      </c>
    </row>
    <row r="724" spans="6:6" x14ac:dyDescent="0.25">
      <c r="F724" s="12" t="str">
        <f>IFERROR(VLOOKUP(E724,'Data sheet'!$B:$C,2,0),"")</f>
        <v/>
      </c>
    </row>
    <row r="725" spans="6:6" x14ac:dyDescent="0.25">
      <c r="F725" s="12" t="str">
        <f>IFERROR(VLOOKUP(E725,'Data sheet'!$B:$C,2,0),"")</f>
        <v/>
      </c>
    </row>
    <row r="726" spans="6:6" x14ac:dyDescent="0.25">
      <c r="F726" s="12" t="str">
        <f>IFERROR(VLOOKUP(E726,'Data sheet'!$B:$C,2,0),"")</f>
        <v/>
      </c>
    </row>
    <row r="727" spans="6:6" x14ac:dyDescent="0.25">
      <c r="F727" s="12" t="str">
        <f>IFERROR(VLOOKUP(E727,'Data sheet'!$B:$C,2,0),"")</f>
        <v/>
      </c>
    </row>
    <row r="728" spans="6:6" x14ac:dyDescent="0.25">
      <c r="F728" s="12" t="str">
        <f>IFERROR(VLOOKUP(E728,'Data sheet'!$B:$C,2,0),"")</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row r="741" spans="6:6" x14ac:dyDescent="0.25">
      <c r="F741" s="12" t="str">
        <f>IFERROR(VLOOKUP(E741,'Data sheet'!$B:$C,2),"")</f>
        <v/>
      </c>
    </row>
    <row r="742" spans="6:6" x14ac:dyDescent="0.25">
      <c r="F742" s="12" t="str">
        <f>IFERROR(VLOOKUP(E742,'Data sheet'!$B:$C,2),"")</f>
        <v/>
      </c>
    </row>
    <row r="743" spans="6:6" x14ac:dyDescent="0.25">
      <c r="F743" s="12" t="str">
        <f>IFERROR(VLOOKUP(E743,'Data sheet'!$B:$C,2),"")</f>
        <v/>
      </c>
    </row>
    <row r="744" spans="6:6" x14ac:dyDescent="0.25">
      <c r="F744" s="12" t="str">
        <f>IFERROR(VLOOKUP(E744,'Data sheet'!$B:$C,2),"")</f>
        <v/>
      </c>
    </row>
    <row r="745" spans="6:6" x14ac:dyDescent="0.25">
      <c r="F745" s="12" t="str">
        <f>IFERROR(VLOOKUP(E745,'Data sheet'!$B:$C,2),"")</f>
        <v/>
      </c>
    </row>
    <row r="746" spans="6:6" x14ac:dyDescent="0.25">
      <c r="F746" s="12" t="str">
        <f>IFERROR(VLOOKUP(E746,'Data sheet'!$B:$C,2),"")</f>
        <v/>
      </c>
    </row>
  </sheetData>
  <dataConsolidate/>
  <customSheetViews>
    <customSheetView guid="{0459E885-E56D-4233-A463-CDACB82F3A71}" hiddenRows="1">
      <selection activeCell="A4" sqref="A4"/>
      <pageMargins left="0.7" right="0.7" top="0.75" bottom="0.75" header="0.3" footer="0.3"/>
      <pageSetup orientation="portrait" r:id="rId1"/>
    </customSheetView>
    <customSheetView guid="{D31A0C38-2BF3-428E-8B63-7EF803410846}" hiddenRows="1">
      <selection activeCell="B29" sqref="B29"/>
      <pageMargins left="0.7" right="0.7" top="0.75" bottom="0.75" header="0.3" footer="0.3"/>
      <pageSetup orientation="portrait" r:id="rId2"/>
    </customSheetView>
    <customSheetView guid="{39AFBFEA-9E3B-4D39-9A52-E97212B04C3B}">
      <selection activeCell="A19" sqref="A19"/>
      <pageMargins left="0.7" right="0.7" top="0.75" bottom="0.75" header="0.3" footer="0.3"/>
      <pageSetup orientation="portrait" r:id="rId3"/>
    </customSheetView>
    <customSheetView guid="{CAAB4857-130C-45CF-BDB7-F4543166DC3F}">
      <selection activeCell="C4" sqref="C4"/>
      <pageMargins left="0.7" right="0.7" top="0.75" bottom="0.75" header="0.3" footer="0.3"/>
      <pageSetup orientation="portrait" r:id="rId4"/>
    </customSheetView>
    <customSheetView guid="{E72D1D85-DDEA-47FF-9C0A-B8A16DD802DE}" hiddenRows="1">
      <selection activeCell="A4" sqref="A4"/>
      <pageMargins left="0.7" right="0.7" top="0.75" bottom="0.75" header="0.3" footer="0.3"/>
      <pageSetup orientation="portrait" r:id="rId5"/>
    </customSheetView>
  </customSheetViews>
  <dataValidations count="4">
    <dataValidation type="list" allowBlank="1" showInputMessage="1" showErrorMessage="1" sqref="E21:E22">
      <formula1>IF(C23="MISC","",INDIRECT(C23))</formula1>
    </dataValidation>
    <dataValidation type="list" allowBlank="1" showInputMessage="1" showErrorMessage="1" sqref="E82:E686 E2:E20 E32:E33 E24:E30 E35 E52:E78">
      <formula1>IF(C2="MISC","",INDIRECT(C2))</formula1>
    </dataValidation>
    <dataValidation type="list" allowBlank="1" showInputMessage="1" showErrorMessage="1" sqref="D82:D686 D2:D78">
      <formula1>IF(C2="Status Meeting",INDIRECT(C2),(IF(C2="MISC",INDIRECT(C2),INDIRECT("ProjectPhase"))))</formula1>
    </dataValidation>
    <dataValidation type="list" allowBlank="1" showInputMessage="1" showErrorMessage="1" sqref="C82:C686 C29:C59 C2:C27 C61:C78">
      <formula1>Activity</formula1>
    </dataValidation>
  </dataValidations>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744"/>
  <sheetViews>
    <sheetView workbookViewId="0"/>
  </sheetViews>
  <sheetFormatPr defaultRowHeight="15" x14ac:dyDescent="0.25"/>
  <cols>
    <col min="1" max="1" width="10.7109375" style="12" bestFit="1" customWidth="1"/>
    <col min="2" max="2" width="13.5703125" style="12" bestFit="1"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7.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hidden="1" x14ac:dyDescent="0.25">
      <c r="A2" s="56">
        <v>42011</v>
      </c>
      <c r="B2" s="49" t="s">
        <v>89</v>
      </c>
      <c r="C2" s="12" t="s">
        <v>8</v>
      </c>
      <c r="D2" s="12" t="s">
        <v>78</v>
      </c>
      <c r="E2" s="12" t="s">
        <v>166</v>
      </c>
      <c r="F2" s="49"/>
      <c r="G2" s="49"/>
      <c r="H2" s="49"/>
      <c r="AA2" s="7"/>
      <c r="AB2" s="7"/>
      <c r="AC2" s="50"/>
      <c r="AD2" s="51"/>
      <c r="AE2" s="52"/>
    </row>
    <row r="3" spans="1:31" x14ac:dyDescent="0.25">
      <c r="A3" s="30"/>
      <c r="G3" s="23"/>
      <c r="AA3" s="13" t="s">
        <v>8</v>
      </c>
      <c r="AB3" s="13" t="s">
        <v>15</v>
      </c>
      <c r="AC3" s="16" t="s">
        <v>63</v>
      </c>
      <c r="AD3" s="16" t="s">
        <v>69</v>
      </c>
      <c r="AE3" s="9" t="s">
        <v>58</v>
      </c>
    </row>
    <row r="4" spans="1:31" x14ac:dyDescent="0.25">
      <c r="A4" s="30"/>
      <c r="G4" s="23"/>
      <c r="AA4" s="13" t="s">
        <v>9</v>
      </c>
      <c r="AB4" s="13" t="s">
        <v>16</v>
      </c>
      <c r="AC4" s="16" t="s">
        <v>63</v>
      </c>
      <c r="AD4" s="16" t="s">
        <v>70</v>
      </c>
      <c r="AE4" s="9" t="s">
        <v>59</v>
      </c>
    </row>
    <row r="5" spans="1:31" x14ac:dyDescent="0.25">
      <c r="A5" s="30"/>
      <c r="G5" s="23"/>
      <c r="AA5" s="13" t="s">
        <v>10</v>
      </c>
      <c r="AB5" s="13" t="s">
        <v>17</v>
      </c>
      <c r="AC5" s="16" t="s">
        <v>63</v>
      </c>
      <c r="AD5" s="16" t="s">
        <v>71</v>
      </c>
      <c r="AE5" s="9" t="s">
        <v>60</v>
      </c>
    </row>
    <row r="6" spans="1:31" x14ac:dyDescent="0.25">
      <c r="A6" s="30"/>
      <c r="G6" s="23"/>
      <c r="AA6" s="13" t="s">
        <v>12</v>
      </c>
      <c r="AB6" s="13" t="s">
        <v>18</v>
      </c>
      <c r="AC6" s="16" t="s">
        <v>63</v>
      </c>
      <c r="AD6" s="16" t="s">
        <v>72</v>
      </c>
      <c r="AE6" s="9" t="s">
        <v>61</v>
      </c>
    </row>
    <row r="7" spans="1:31" x14ac:dyDescent="0.25">
      <c r="A7" s="30"/>
      <c r="G7" s="23"/>
      <c r="H7" s="23"/>
      <c r="AA7" s="13" t="s">
        <v>13</v>
      </c>
      <c r="AB7" s="13" t="s">
        <v>19</v>
      </c>
      <c r="AC7" s="16" t="s">
        <v>64</v>
      </c>
      <c r="AD7" s="16" t="s">
        <v>73</v>
      </c>
      <c r="AE7" s="9" t="s">
        <v>11</v>
      </c>
    </row>
    <row r="8" spans="1:31" x14ac:dyDescent="0.25">
      <c r="A8" s="30"/>
      <c r="G8" s="23"/>
      <c r="H8" s="23"/>
      <c r="AA8" s="13"/>
      <c r="AB8" s="13"/>
      <c r="AC8" s="16"/>
      <c r="AD8" s="16"/>
      <c r="AE8" s="9"/>
    </row>
    <row r="9" spans="1:31" x14ac:dyDescent="0.25">
      <c r="A9" s="30"/>
      <c r="G9" s="23"/>
      <c r="H9" s="23"/>
      <c r="AA9" s="13"/>
      <c r="AB9" s="13"/>
      <c r="AC9" s="16"/>
      <c r="AD9" s="16"/>
      <c r="AE9" s="9"/>
    </row>
    <row r="10" spans="1:31" x14ac:dyDescent="0.25">
      <c r="A10" s="30"/>
      <c r="G10" s="23"/>
      <c r="H10" s="23"/>
      <c r="AA10" s="13" t="s">
        <v>14</v>
      </c>
      <c r="AB10" s="13" t="s">
        <v>20</v>
      </c>
      <c r="AC10" s="16" t="s">
        <v>65</v>
      </c>
      <c r="AD10" s="16" t="s">
        <v>74</v>
      </c>
      <c r="AE10" s="9" t="s">
        <v>62</v>
      </c>
    </row>
    <row r="11" spans="1:31" x14ac:dyDescent="0.25">
      <c r="A11" s="30"/>
      <c r="G11" s="23"/>
      <c r="H11" s="23"/>
      <c r="AB11" s="13" t="s">
        <v>21</v>
      </c>
      <c r="AC11" s="16" t="s">
        <v>64</v>
      </c>
      <c r="AD11" s="16" t="s">
        <v>75</v>
      </c>
    </row>
    <row r="12" spans="1:31" x14ac:dyDescent="0.25">
      <c r="A12" s="30"/>
      <c r="G12" s="23"/>
      <c r="H12" s="23"/>
      <c r="AA12" s="13"/>
      <c r="AB12" s="13" t="s">
        <v>22</v>
      </c>
      <c r="AC12" s="16" t="s">
        <v>64</v>
      </c>
      <c r="AD12" s="16" t="s">
        <v>76</v>
      </c>
      <c r="AE12" s="9"/>
    </row>
    <row r="13" spans="1:31" x14ac:dyDescent="0.25">
      <c r="A13" s="30"/>
      <c r="G13" s="23"/>
      <c r="H13" s="23"/>
      <c r="AA13" s="13"/>
      <c r="AB13" s="13" t="s">
        <v>23</v>
      </c>
      <c r="AC13" s="16" t="s">
        <v>65</v>
      </c>
      <c r="AD13" s="16" t="s">
        <v>77</v>
      </c>
      <c r="AE13" s="9"/>
    </row>
    <row r="14" spans="1:31" x14ac:dyDescent="0.25">
      <c r="A14" s="30"/>
      <c r="G14" s="23"/>
      <c r="H14" s="23"/>
      <c r="AB14" s="13" t="s">
        <v>25</v>
      </c>
      <c r="AC14" s="13" t="s">
        <v>66</v>
      </c>
    </row>
    <row r="15" spans="1:31" x14ac:dyDescent="0.25">
      <c r="A15" s="30"/>
      <c r="G15" s="23"/>
      <c r="AB15" s="13" t="s">
        <v>26</v>
      </c>
      <c r="AC15" s="13" t="s">
        <v>65</v>
      </c>
    </row>
    <row r="16" spans="1:31" x14ac:dyDescent="0.25">
      <c r="A16" s="30"/>
      <c r="G16" s="23"/>
      <c r="H16" s="23"/>
      <c r="AA16" s="8"/>
      <c r="AB16" s="13" t="s">
        <v>27</v>
      </c>
      <c r="AC16" s="13" t="s">
        <v>64</v>
      </c>
      <c r="AD16" s="16"/>
      <c r="AE16" s="8"/>
    </row>
    <row r="17" spans="1:30" x14ac:dyDescent="0.25">
      <c r="A17" s="30"/>
      <c r="G17" s="23"/>
      <c r="H17" s="23"/>
      <c r="AB17" s="13" t="s">
        <v>29</v>
      </c>
      <c r="AC17" s="13" t="s">
        <v>65</v>
      </c>
    </row>
    <row r="18" spans="1:30" x14ac:dyDescent="0.25">
      <c r="A18" s="30"/>
      <c r="G18" s="23"/>
      <c r="AB18" s="13" t="s">
        <v>30</v>
      </c>
      <c r="AC18" s="13" t="s">
        <v>64</v>
      </c>
    </row>
    <row r="19" spans="1:30" x14ac:dyDescent="0.25">
      <c r="A19" s="30"/>
      <c r="G19" s="23"/>
      <c r="AB19" s="13"/>
      <c r="AC19" s="13"/>
    </row>
    <row r="20" spans="1:30" x14ac:dyDescent="0.25">
      <c r="A20" s="30"/>
      <c r="G20" s="23"/>
      <c r="AB20" s="13"/>
      <c r="AC20" s="13"/>
    </row>
    <row r="21" spans="1:30" x14ac:dyDescent="0.25">
      <c r="A21" s="30"/>
      <c r="G21" s="23"/>
      <c r="H21" s="23"/>
      <c r="AB21" s="13" t="s">
        <v>31</v>
      </c>
      <c r="AC21" s="13" t="s">
        <v>63</v>
      </c>
    </row>
    <row r="22" spans="1:30" x14ac:dyDescent="0.25">
      <c r="A22" s="48"/>
      <c r="G22" s="23"/>
      <c r="AB22" s="13" t="s">
        <v>32</v>
      </c>
      <c r="AC22" s="13" t="s">
        <v>64</v>
      </c>
      <c r="AD22" s="16"/>
    </row>
    <row r="23" spans="1:30" x14ac:dyDescent="0.25">
      <c r="A23" s="48"/>
      <c r="G23" s="23"/>
      <c r="AB23" s="13"/>
      <c r="AC23" s="13"/>
      <c r="AD23" s="8"/>
    </row>
    <row r="24" spans="1:30" x14ac:dyDescent="0.25">
      <c r="A24" s="48"/>
      <c r="G24" s="23"/>
      <c r="AB24" s="13" t="s">
        <v>34</v>
      </c>
      <c r="AC24" s="13" t="s">
        <v>63</v>
      </c>
      <c r="AD24" s="8"/>
    </row>
    <row r="25" spans="1:30" x14ac:dyDescent="0.25">
      <c r="A25" s="48"/>
      <c r="G25" s="23"/>
      <c r="AB25" s="13" t="s">
        <v>35</v>
      </c>
      <c r="AC25" s="13" t="s">
        <v>65</v>
      </c>
      <c r="AD25" s="8"/>
    </row>
    <row r="26" spans="1:30" x14ac:dyDescent="0.25">
      <c r="A26" s="48"/>
      <c r="G26" s="23"/>
      <c r="AB26" s="13"/>
      <c r="AC26" s="13"/>
      <c r="AD26" s="8"/>
    </row>
    <row r="27" spans="1:30" x14ac:dyDescent="0.25">
      <c r="A27" s="48"/>
      <c r="G27" s="23"/>
      <c r="AB27" s="13"/>
      <c r="AC27" s="13"/>
      <c r="AD27" s="8"/>
    </row>
    <row r="28" spans="1:30" x14ac:dyDescent="0.25">
      <c r="A28" s="48"/>
      <c r="G28" s="23"/>
      <c r="H28" s="23"/>
      <c r="AB28" s="13" t="s">
        <v>36</v>
      </c>
      <c r="AC28" s="13" t="s">
        <v>64</v>
      </c>
      <c r="AD28" s="8"/>
    </row>
    <row r="29" spans="1:30" x14ac:dyDescent="0.25">
      <c r="A29" s="48"/>
      <c r="G29" s="23"/>
      <c r="AB29" s="13"/>
      <c r="AC29" s="13"/>
      <c r="AD29" s="8"/>
    </row>
    <row r="30" spans="1:30" x14ac:dyDescent="0.25">
      <c r="A30" s="48"/>
      <c r="G30" s="23"/>
      <c r="AB30" s="13" t="s">
        <v>37</v>
      </c>
      <c r="AC30" s="13" t="s">
        <v>66</v>
      </c>
      <c r="AD30" s="8"/>
    </row>
    <row r="31" spans="1:30" x14ac:dyDescent="0.25">
      <c r="A31" s="48"/>
      <c r="G31" s="23"/>
      <c r="H31" s="23"/>
      <c r="AB31" s="13" t="s">
        <v>38</v>
      </c>
      <c r="AC31" s="13" t="s">
        <v>67</v>
      </c>
      <c r="AD31" s="8"/>
    </row>
    <row r="32" spans="1:30" x14ac:dyDescent="0.25">
      <c r="A32" s="48"/>
      <c r="G32" s="23"/>
      <c r="AB32" s="13" t="s">
        <v>39</v>
      </c>
      <c r="AC32" s="13" t="s">
        <v>63</v>
      </c>
      <c r="AD32" s="8"/>
    </row>
    <row r="33" spans="1:30" x14ac:dyDescent="0.25">
      <c r="A33" s="48"/>
      <c r="G33" s="23"/>
      <c r="AB33" s="13" t="s">
        <v>40</v>
      </c>
      <c r="AC33" s="13" t="s">
        <v>64</v>
      </c>
      <c r="AD33" s="8"/>
    </row>
    <row r="34" spans="1:30" x14ac:dyDescent="0.25">
      <c r="A34" s="48"/>
      <c r="G34" s="23"/>
      <c r="H34" s="23"/>
      <c r="AB34" s="13" t="s">
        <v>41</v>
      </c>
      <c r="AC34" s="13" t="s">
        <v>67</v>
      </c>
      <c r="AD34" s="8"/>
    </row>
    <row r="35" spans="1:30" x14ac:dyDescent="0.25">
      <c r="A35" s="48"/>
      <c r="G35" s="23"/>
      <c r="H35" s="23"/>
      <c r="AB35" s="13" t="s">
        <v>42</v>
      </c>
      <c r="AC35" s="13" t="s">
        <v>66</v>
      </c>
      <c r="AD35" s="8"/>
    </row>
    <row r="36" spans="1:30" x14ac:dyDescent="0.25">
      <c r="A36" s="48"/>
      <c r="G36" s="23"/>
      <c r="AB36" s="14" t="s">
        <v>43</v>
      </c>
      <c r="AC36" s="13" t="s">
        <v>64</v>
      </c>
      <c r="AD36" s="8"/>
    </row>
    <row r="37" spans="1:30" x14ac:dyDescent="0.25">
      <c r="A37" s="48"/>
      <c r="G37" s="23"/>
      <c r="H37" s="23"/>
      <c r="AB37" s="15" t="s">
        <v>44</v>
      </c>
      <c r="AC37" s="13" t="s">
        <v>64</v>
      </c>
      <c r="AD37" s="8"/>
    </row>
    <row r="38" spans="1:30" x14ac:dyDescent="0.25">
      <c r="A38" s="48"/>
      <c r="G38" s="23"/>
      <c r="H38" s="23"/>
      <c r="AB38" s="14" t="s">
        <v>45</v>
      </c>
      <c r="AC38" s="13" t="s">
        <v>64</v>
      </c>
      <c r="AD38" s="8"/>
    </row>
    <row r="39" spans="1:30" x14ac:dyDescent="0.25">
      <c r="A39" s="37"/>
      <c r="G39" s="23"/>
      <c r="AB39" s="15" t="s">
        <v>46</v>
      </c>
      <c r="AC39" s="13" t="s">
        <v>64</v>
      </c>
      <c r="AD39" s="8"/>
    </row>
    <row r="40" spans="1:30" x14ac:dyDescent="0.25">
      <c r="A40" s="37"/>
      <c r="G40" s="23"/>
      <c r="AB40" s="14" t="s">
        <v>47</v>
      </c>
      <c r="AC40" s="13" t="s">
        <v>64</v>
      </c>
      <c r="AD40" s="8"/>
    </row>
    <row r="41" spans="1:30" x14ac:dyDescent="0.25">
      <c r="A41" s="37"/>
      <c r="G41" s="23"/>
      <c r="AB41" s="15" t="s">
        <v>48</v>
      </c>
      <c r="AC41" s="13" t="s">
        <v>64</v>
      </c>
      <c r="AD41" s="8"/>
    </row>
    <row r="42" spans="1:30" x14ac:dyDescent="0.25">
      <c r="A42" s="37"/>
      <c r="G42" s="23"/>
      <c r="AB42" s="14" t="s">
        <v>49</v>
      </c>
      <c r="AC42" s="13" t="s">
        <v>67</v>
      </c>
      <c r="AD42" s="8"/>
    </row>
    <row r="43" spans="1:30" x14ac:dyDescent="0.25">
      <c r="A43" s="37"/>
      <c r="G43" s="23"/>
      <c r="AB43" s="15" t="s">
        <v>50</v>
      </c>
      <c r="AC43" s="13" t="s">
        <v>66</v>
      </c>
      <c r="AD43" s="8"/>
    </row>
    <row r="44" spans="1:30" x14ac:dyDescent="0.25">
      <c r="A44" s="37"/>
      <c r="G44" s="23"/>
      <c r="AB44" s="14" t="s">
        <v>51</v>
      </c>
      <c r="AC44" s="13" t="s">
        <v>66</v>
      </c>
      <c r="AD44" s="8"/>
    </row>
    <row r="45" spans="1:30" x14ac:dyDescent="0.25">
      <c r="A45" s="37"/>
      <c r="G45" s="23"/>
      <c r="H45" s="23"/>
      <c r="AB45" s="1" t="s">
        <v>52</v>
      </c>
      <c r="AC45" s="13" t="s">
        <v>63</v>
      </c>
      <c r="AD45" s="8"/>
    </row>
    <row r="46" spans="1:30" x14ac:dyDescent="0.25">
      <c r="A46" s="37"/>
      <c r="G46" s="23"/>
      <c r="AB46" s="6" t="s">
        <v>53</v>
      </c>
      <c r="AC46" s="13" t="s">
        <v>63</v>
      </c>
      <c r="AD46" s="8"/>
    </row>
    <row r="47" spans="1:30" x14ac:dyDescent="0.25">
      <c r="A47" s="37"/>
      <c r="G47" s="23"/>
      <c r="AB47" s="6" t="s">
        <v>54</v>
      </c>
      <c r="AC47" s="13" t="s">
        <v>65</v>
      </c>
      <c r="AD47" s="8"/>
    </row>
    <row r="48" spans="1:30" x14ac:dyDescent="0.25">
      <c r="A48" s="37"/>
      <c r="G48" s="23"/>
      <c r="AB48" s="13" t="s">
        <v>55</v>
      </c>
      <c r="AC48" s="13" t="s">
        <v>64</v>
      </c>
      <c r="AD48" s="8"/>
    </row>
    <row r="49" spans="1:30" x14ac:dyDescent="0.25">
      <c r="A49" s="37"/>
      <c r="G49" s="23"/>
      <c r="AB49" s="13" t="s">
        <v>56</v>
      </c>
      <c r="AC49" s="13" t="s">
        <v>67</v>
      </c>
      <c r="AD49" s="8"/>
    </row>
    <row r="50" spans="1:30" x14ac:dyDescent="0.25">
      <c r="A50" s="37"/>
      <c r="G50" s="23"/>
      <c r="AB50" s="13" t="s">
        <v>40</v>
      </c>
      <c r="AC50" s="13" t="s">
        <v>64</v>
      </c>
      <c r="AD50" s="8"/>
    </row>
    <row r="51" spans="1:30" x14ac:dyDescent="0.25">
      <c r="A51" s="37"/>
      <c r="G51" s="23"/>
      <c r="AB51" s="13" t="s">
        <v>57</v>
      </c>
      <c r="AC51" s="13" t="s">
        <v>64</v>
      </c>
      <c r="AD51" s="8"/>
    </row>
    <row r="52" spans="1:30" x14ac:dyDescent="0.25">
      <c r="A52" s="37"/>
      <c r="G52" s="23"/>
      <c r="H52" s="23"/>
      <c r="AD52" s="8"/>
    </row>
    <row r="53" spans="1:30" x14ac:dyDescent="0.25">
      <c r="A53" s="37"/>
      <c r="G53" s="23"/>
      <c r="AD53" s="8"/>
    </row>
    <row r="54" spans="1:30" x14ac:dyDescent="0.25">
      <c r="A54" s="37"/>
      <c r="AD54" s="8"/>
    </row>
    <row r="55" spans="1:30" x14ac:dyDescent="0.25">
      <c r="A55" s="37"/>
      <c r="AD55" s="8"/>
    </row>
    <row r="56" spans="1:30" x14ac:dyDescent="0.25">
      <c r="A56" s="37"/>
      <c r="AD56" s="8"/>
    </row>
    <row r="57" spans="1:30" x14ac:dyDescent="0.25">
      <c r="A57" s="37"/>
      <c r="AD57" s="8"/>
    </row>
    <row r="58" spans="1:30" x14ac:dyDescent="0.25">
      <c r="A58" s="37"/>
      <c r="AD58" s="8"/>
    </row>
    <row r="59" spans="1:30" x14ac:dyDescent="0.25">
      <c r="A59" s="37"/>
      <c r="AD59" s="8"/>
    </row>
    <row r="60" spans="1:30" x14ac:dyDescent="0.25">
      <c r="A60" s="37"/>
      <c r="AD60" s="8"/>
    </row>
    <row r="61" spans="1:30" x14ac:dyDescent="0.25">
      <c r="A61" s="37"/>
      <c r="AD61" s="8"/>
    </row>
    <row r="62" spans="1:30" x14ac:dyDescent="0.25">
      <c r="A62" s="37"/>
      <c r="AD62" s="8"/>
    </row>
    <row r="63" spans="1:30" x14ac:dyDescent="0.25">
      <c r="A63" s="37"/>
      <c r="AD63" s="8"/>
    </row>
    <row r="64" spans="1:30" x14ac:dyDescent="0.25">
      <c r="A64" s="37"/>
      <c r="H64" s="23"/>
    </row>
    <row r="65" spans="1:1" x14ac:dyDescent="0.25">
      <c r="A65" s="37"/>
    </row>
    <row r="66" spans="1:1" x14ac:dyDescent="0.25">
      <c r="A66" s="37"/>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sheet'!$B:$C,2,0),"")</f>
        <v/>
      </c>
    </row>
    <row r="658" spans="6:6" x14ac:dyDescent="0.25">
      <c r="F658" s="12" t="str">
        <f>IFERROR(VLOOKUP(E658,'Data sheet'!$B:$C,2,0),"")</f>
        <v/>
      </c>
    </row>
    <row r="659" spans="6:6" x14ac:dyDescent="0.25">
      <c r="F659" s="12" t="str">
        <f>IFERROR(VLOOKUP(E659,'Data sheet'!$B:$C,2,0),"")</f>
        <v/>
      </c>
    </row>
    <row r="660" spans="6:6" x14ac:dyDescent="0.25">
      <c r="F660" s="12" t="str">
        <f>IFERROR(VLOOKUP(E660,'Data sheet'!$B:$C,2,0),"")</f>
        <v/>
      </c>
    </row>
    <row r="661" spans="6:6" x14ac:dyDescent="0.25">
      <c r="F661" s="12" t="str">
        <f>IFERROR(VLOOKUP(E661,'Data sheet'!$B:$C,2,0),"")</f>
        <v/>
      </c>
    </row>
    <row r="663" spans="6:6" x14ac:dyDescent="0.25">
      <c r="F663" s="12" t="str">
        <f>IFERROR(VLOOKUP(E663,'Data sheet'!$B:$C,2,0),"")</f>
        <v/>
      </c>
    </row>
    <row r="664" spans="6:6" x14ac:dyDescent="0.25">
      <c r="F664" s="12" t="str">
        <f>IFERROR(VLOOKUP(E664,'Data sheet'!$B:$C,2,0),"")</f>
        <v/>
      </c>
    </row>
    <row r="665" spans="6:6" x14ac:dyDescent="0.25">
      <c r="F665" s="12" t="str">
        <f>IFERROR(VLOOKUP(E665,'Data sheet'!$B:$C,2,0),"")</f>
        <v/>
      </c>
    </row>
    <row r="666" spans="6:6" x14ac:dyDescent="0.25">
      <c r="F666" s="12" t="str">
        <f>IFERROR(VLOOKUP(E666,'Data sheet'!$B:$C,2,0),"")</f>
        <v/>
      </c>
    </row>
    <row r="667" spans="6:6" x14ac:dyDescent="0.25">
      <c r="F667" s="12" t="str">
        <f>IFERROR(VLOOKUP(E667,'Data sheet'!$B:$C,2,0),"")</f>
        <v/>
      </c>
    </row>
    <row r="668" spans="6:6" x14ac:dyDescent="0.25">
      <c r="F668" s="12" t="str">
        <f>IFERROR(VLOOKUP(E668,'Data sheet'!$B:$C,2,0),"")</f>
        <v/>
      </c>
    </row>
    <row r="669" spans="6:6" x14ac:dyDescent="0.25">
      <c r="F669" s="12" t="str">
        <f>IFERROR(VLOOKUP(E669,'Data sheet'!$B:$C,2,0),"")</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row r="732" spans="6:6" x14ac:dyDescent="0.25">
      <c r="F732" s="12" t="str">
        <f>IFERROR(VLOOKUP(E732,'Data sheet'!$B:$C,2),"")</f>
        <v/>
      </c>
    </row>
    <row r="733" spans="6:6" x14ac:dyDescent="0.25">
      <c r="F733" s="12" t="str">
        <f>IFERROR(VLOOKUP(E733,'Data sheet'!$B:$C,2),"")</f>
        <v/>
      </c>
    </row>
    <row r="734" spans="6:6" x14ac:dyDescent="0.25">
      <c r="F734" s="12" t="str">
        <f>IFERROR(VLOOKUP(E734,'Data sheet'!$B:$C,2),"")</f>
        <v/>
      </c>
    </row>
    <row r="735" spans="6:6" x14ac:dyDescent="0.25">
      <c r="F735" s="12" t="str">
        <f>IFERROR(VLOOKUP(E735,'Data sheet'!$B:$C,2),"")</f>
        <v/>
      </c>
    </row>
    <row r="736" spans="6:6" x14ac:dyDescent="0.25">
      <c r="F736" s="12" t="str">
        <f>IFERROR(VLOOKUP(E736,'Data sheet'!$B:$C,2),"")</f>
        <v/>
      </c>
    </row>
    <row r="737" spans="6:6" x14ac:dyDescent="0.25">
      <c r="F737" s="12" t="str">
        <f>IFERROR(VLOOKUP(E737,'Data sheet'!$B:$C,2),"")</f>
        <v/>
      </c>
    </row>
    <row r="738" spans="6:6" x14ac:dyDescent="0.25">
      <c r="F738" s="12" t="str">
        <f>IFERROR(VLOOKUP(E738,'Data sheet'!$B:$C,2),"")</f>
        <v/>
      </c>
    </row>
    <row r="739" spans="6:6" x14ac:dyDescent="0.25">
      <c r="F739" s="12" t="str">
        <f>IFERROR(VLOOKUP(E739,'Data sheet'!$B:$C,2),"")</f>
        <v/>
      </c>
    </row>
    <row r="740" spans="6:6" x14ac:dyDescent="0.25">
      <c r="F740" s="12" t="str">
        <f>IFERROR(VLOOKUP(E740,'Data sheet'!$B:$C,2),"")</f>
        <v/>
      </c>
    </row>
    <row r="741" spans="6:6" x14ac:dyDescent="0.25">
      <c r="F741" s="12" t="str">
        <f>IFERROR(VLOOKUP(E741,'Data sheet'!$B:$C,2),"")</f>
        <v/>
      </c>
    </row>
    <row r="742" spans="6:6" x14ac:dyDescent="0.25">
      <c r="F742" s="12" t="str">
        <f>IFERROR(VLOOKUP(E742,'Data sheet'!$B:$C,2),"")</f>
        <v/>
      </c>
    </row>
    <row r="743" spans="6:6" x14ac:dyDescent="0.25">
      <c r="F743" s="12" t="str">
        <f>IFERROR(VLOOKUP(E743,'Data sheet'!$B:$C,2),"")</f>
        <v/>
      </c>
    </row>
    <row r="744" spans="6:6" x14ac:dyDescent="0.25">
      <c r="F744" s="12" t="str">
        <f>IFERROR(VLOOKUP(E744,'Data sheet'!$B:$C,2),"")</f>
        <v/>
      </c>
    </row>
  </sheetData>
  <customSheetViews>
    <customSheetView guid="{0459E885-E56D-4233-A463-CDACB82F3A71}" hiddenRows="1">
      <pageMargins left="0.7" right="0.7" top="0.75" bottom="0.75" header="0.3" footer="0.3"/>
      <pageSetup paperSize="9" orientation="portrait" r:id="rId1"/>
    </customSheetView>
    <customSheetView guid="{D31A0C38-2BF3-428E-8B63-7EF803410846}" hiddenRows="1">
      <selection activeCell="C1" sqref="C1:E1"/>
      <pageMargins left="0.7" right="0.7" top="0.75" bottom="0.75" header="0.3" footer="0.3"/>
    </customSheetView>
    <customSheetView guid="{39AFBFEA-9E3B-4D39-9A52-E97212B04C3B}">
      <selection activeCell="A2" sqref="A2"/>
      <pageMargins left="0.7" right="0.7" top="0.75" bottom="0.75" header="0.3" footer="0.3"/>
    </customSheetView>
    <customSheetView guid="{5E4851DA-2CDD-4E0B-A9F2-CF05D4206F60}">
      <selection activeCell="E38" sqref="E38"/>
      <pageMargins left="0.7" right="0.7" top="0.75" bottom="0.75" header="0.3" footer="0.3"/>
    </customSheetView>
    <customSheetView guid="{CAAB4857-130C-45CF-BDB7-F4543166DC3F}">
      <selection activeCell="E38" sqref="E38"/>
      <pageMargins left="0.7" right="0.7" top="0.75" bottom="0.75" header="0.3" footer="0.3"/>
    </customSheetView>
    <customSheetView guid="{E72D1D85-DDEA-47FF-9C0A-B8A16DD802DE}" hiddenRows="1">
      <pageMargins left="0.7" right="0.7" top="0.75" bottom="0.75" header="0.3" footer="0.3"/>
      <pageSetup paperSize="9" orientation="portrait" r:id="rId2"/>
    </customSheetView>
  </customSheetViews>
  <dataValidations count="3">
    <dataValidation type="list" allowBlank="1" showInputMessage="1" showErrorMessage="1" sqref="D54:D56 D61:D684 D2:D24 D26:D28 D30:D52">
      <formula1>IF(C2="Status Meeting",INDIRECT(C2),(IF(C2="MISC",INDIRECT(C2),INDIRECT("ProjectPhase"))))</formula1>
    </dataValidation>
    <dataValidation type="list" allowBlank="1" showInputMessage="1" showErrorMessage="1" sqref="E61:E684 E2:E15 E17:E28 E30:E56">
      <formula1>IF(C2="MISC","",INDIRECT(C2))</formula1>
    </dataValidation>
    <dataValidation type="list" allowBlank="1" showInputMessage="1" showErrorMessage="1" sqref="C54:C56 C61:C684 C2:C52">
      <formula1>Activity</formula1>
    </dataValidation>
  </dataValidation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048572"/>
  <sheetViews>
    <sheetView zoomScale="90" zoomScaleNormal="90" workbookViewId="0">
      <selection activeCell="E14" sqref="E14"/>
    </sheetView>
  </sheetViews>
  <sheetFormatPr defaultRowHeight="15" x14ac:dyDescent="0.25"/>
  <cols>
    <col min="1" max="1" width="9.28515625" bestFit="1" customWidth="1"/>
    <col min="2" max="2" width="12" bestFit="1" customWidth="1"/>
    <col min="3" max="3" width="12.7109375" bestFit="1" customWidth="1"/>
    <col min="4" max="4" width="17.5703125" bestFit="1" customWidth="1"/>
    <col min="5" max="5" width="45.42578125" bestFit="1" customWidth="1"/>
    <col min="6" max="6" width="12.5703125" bestFit="1" customWidth="1"/>
    <col min="7" max="7" width="15.28515625" bestFit="1" customWidth="1"/>
    <col min="8" max="8" width="43.42578125" bestFit="1" customWidth="1"/>
  </cols>
  <sheetData>
    <row r="1" spans="1:31" ht="15.75" thickBot="1" x14ac:dyDescent="0.3">
      <c r="A1" s="18" t="s">
        <v>0</v>
      </c>
      <c r="B1" s="19" t="s">
        <v>1</v>
      </c>
      <c r="C1" s="20" t="s">
        <v>2</v>
      </c>
      <c r="D1" s="19" t="s">
        <v>4</v>
      </c>
      <c r="E1" s="22" t="s">
        <v>3</v>
      </c>
      <c r="F1" s="21" t="s">
        <v>5</v>
      </c>
      <c r="G1" s="19" t="s">
        <v>6</v>
      </c>
      <c r="H1" s="19" t="s">
        <v>7</v>
      </c>
    </row>
    <row r="2" spans="1:31" s="12" customFormat="1" x14ac:dyDescent="0.25">
      <c r="A2" s="37">
        <v>42340</v>
      </c>
      <c r="B2" s="23" t="s">
        <v>190</v>
      </c>
      <c r="C2" s="12" t="s">
        <v>14</v>
      </c>
      <c r="D2" s="12" t="s">
        <v>11</v>
      </c>
      <c r="E2" s="23" t="s">
        <v>241</v>
      </c>
      <c r="F2" s="8" t="s">
        <v>66</v>
      </c>
      <c r="G2" s="23">
        <v>1</v>
      </c>
      <c r="H2" s="23" t="s">
        <v>242</v>
      </c>
      <c r="Z2" s="13"/>
      <c r="AA2" s="13"/>
      <c r="AB2" s="16"/>
      <c r="AC2" s="16"/>
      <c r="AD2" s="9"/>
    </row>
    <row r="3" spans="1:31" s="12" customFormat="1" x14ac:dyDescent="0.25">
      <c r="A3" s="37">
        <v>42340</v>
      </c>
      <c r="B3" s="23" t="s">
        <v>190</v>
      </c>
      <c r="C3" s="12" t="s">
        <v>8</v>
      </c>
      <c r="D3" s="12" t="s">
        <v>78</v>
      </c>
      <c r="E3" s="12" t="s">
        <v>155</v>
      </c>
      <c r="F3" s="12" t="s">
        <v>63</v>
      </c>
      <c r="G3" s="23">
        <v>4</v>
      </c>
      <c r="H3" s="62" t="s">
        <v>247</v>
      </c>
      <c r="Z3" s="13"/>
      <c r="AA3" s="13"/>
      <c r="AB3" s="16"/>
      <c r="AC3" s="16"/>
      <c r="AD3" s="9"/>
    </row>
    <row r="4" spans="1:31" x14ac:dyDescent="0.25">
      <c r="A4" s="37">
        <v>42340</v>
      </c>
      <c r="B4" s="23" t="s">
        <v>190</v>
      </c>
      <c r="C4" s="12" t="s">
        <v>8</v>
      </c>
      <c r="D4" s="12" t="s">
        <v>70</v>
      </c>
      <c r="E4" s="12" t="s">
        <v>222</v>
      </c>
      <c r="F4" s="23" t="s">
        <v>248</v>
      </c>
      <c r="G4" s="23">
        <v>2</v>
      </c>
      <c r="H4" s="62" t="s">
        <v>254</v>
      </c>
    </row>
    <row r="5" spans="1:31" s="12" customFormat="1" x14ac:dyDescent="0.25">
      <c r="A5" s="37">
        <v>42341</v>
      </c>
      <c r="B5" s="23" t="s">
        <v>190</v>
      </c>
      <c r="C5" s="12" t="s">
        <v>14</v>
      </c>
      <c r="D5" s="12" t="s">
        <v>61</v>
      </c>
      <c r="E5" s="23" t="s">
        <v>243</v>
      </c>
      <c r="F5" s="8" t="s">
        <v>244</v>
      </c>
      <c r="G5" s="23">
        <v>0.5</v>
      </c>
      <c r="H5" s="23" t="s">
        <v>243</v>
      </c>
    </row>
    <row r="6" spans="1:31" x14ac:dyDescent="0.25">
      <c r="A6" s="37">
        <v>42341</v>
      </c>
      <c r="B6" s="23" t="s">
        <v>190</v>
      </c>
      <c r="C6" s="12" t="s">
        <v>8</v>
      </c>
      <c r="D6" s="12" t="s">
        <v>78</v>
      </c>
      <c r="E6" s="12" t="s">
        <v>245</v>
      </c>
      <c r="F6" s="12" t="s">
        <v>246</v>
      </c>
      <c r="G6" s="23">
        <v>3</v>
      </c>
      <c r="H6" s="62" t="s">
        <v>247</v>
      </c>
    </row>
    <row r="7" spans="1:31" x14ac:dyDescent="0.25">
      <c r="A7" s="37">
        <v>42341</v>
      </c>
      <c r="B7" s="23" t="s">
        <v>190</v>
      </c>
      <c r="C7" s="12" t="s">
        <v>14</v>
      </c>
      <c r="D7" s="12" t="s">
        <v>61</v>
      </c>
      <c r="E7" s="23" t="s">
        <v>258</v>
      </c>
      <c r="F7" s="8" t="s">
        <v>64</v>
      </c>
      <c r="G7" s="23">
        <v>0.5</v>
      </c>
      <c r="H7" s="23" t="s">
        <v>258</v>
      </c>
    </row>
    <row r="8" spans="1:31" s="12" customFormat="1" x14ac:dyDescent="0.25">
      <c r="A8" s="37">
        <v>42341</v>
      </c>
      <c r="B8" s="23" t="s">
        <v>190</v>
      </c>
      <c r="C8" s="12" t="s">
        <v>8</v>
      </c>
      <c r="D8" s="12" t="s">
        <v>78</v>
      </c>
      <c r="E8" s="12" t="s">
        <v>189</v>
      </c>
      <c r="F8" s="12" t="s">
        <v>64</v>
      </c>
      <c r="G8" s="23">
        <v>3.5</v>
      </c>
      <c r="H8" s="62" t="s">
        <v>259</v>
      </c>
    </row>
    <row r="9" spans="1:31" s="12" customFormat="1" x14ac:dyDescent="0.25">
      <c r="A9" s="37">
        <v>42342</v>
      </c>
      <c r="B9" s="23" t="s">
        <v>190</v>
      </c>
      <c r="C9" s="12" t="s">
        <v>8</v>
      </c>
      <c r="D9" s="12" t="s">
        <v>70</v>
      </c>
      <c r="E9" s="12" t="s">
        <v>222</v>
      </c>
      <c r="F9" s="23" t="s">
        <v>248</v>
      </c>
      <c r="G9" s="23">
        <v>6</v>
      </c>
      <c r="H9" s="62" t="s">
        <v>254</v>
      </c>
    </row>
    <row r="10" spans="1:31" s="12" customFormat="1" x14ac:dyDescent="0.25">
      <c r="A10" s="37">
        <v>42342</v>
      </c>
      <c r="B10" s="23" t="s">
        <v>190</v>
      </c>
      <c r="C10" s="12" t="s">
        <v>8</v>
      </c>
      <c r="D10" s="12" t="s">
        <v>76</v>
      </c>
      <c r="E10" s="12" t="s">
        <v>228</v>
      </c>
      <c r="F10" s="23" t="s">
        <v>255</v>
      </c>
      <c r="G10" s="23">
        <v>2</v>
      </c>
      <c r="H10" s="62" t="s">
        <v>256</v>
      </c>
    </row>
    <row r="11" spans="1:31" s="12" customFormat="1" x14ac:dyDescent="0.25">
      <c r="A11" s="37">
        <v>42345</v>
      </c>
      <c r="B11" s="23" t="s">
        <v>190</v>
      </c>
      <c r="C11" s="12" t="s">
        <v>14</v>
      </c>
      <c r="D11" s="12" t="s">
        <v>61</v>
      </c>
      <c r="E11" s="62" t="s">
        <v>251</v>
      </c>
      <c r="F11" s="23" t="s">
        <v>66</v>
      </c>
      <c r="G11" s="23">
        <v>0.5</v>
      </c>
      <c r="H11" s="62" t="s">
        <v>252</v>
      </c>
    </row>
    <row r="12" spans="1:31" s="12" customFormat="1" x14ac:dyDescent="0.25">
      <c r="A12" s="37">
        <v>42345</v>
      </c>
      <c r="B12" s="23" t="s">
        <v>190</v>
      </c>
      <c r="C12" s="12" t="s">
        <v>14</v>
      </c>
      <c r="D12" s="12" t="s">
        <v>61</v>
      </c>
      <c r="E12" s="62" t="s">
        <v>250</v>
      </c>
      <c r="F12" s="23" t="s">
        <v>66</v>
      </c>
      <c r="G12" s="23">
        <v>1</v>
      </c>
      <c r="H12" s="62" t="s">
        <v>253</v>
      </c>
    </row>
    <row r="13" spans="1:31" s="12" customFormat="1" x14ac:dyDescent="0.25">
      <c r="A13" s="37">
        <v>42345</v>
      </c>
      <c r="B13" s="23" t="s">
        <v>190</v>
      </c>
      <c r="C13" s="12" t="s">
        <v>8</v>
      </c>
      <c r="D13" s="12" t="s">
        <v>70</v>
      </c>
      <c r="E13" s="12" t="s">
        <v>222</v>
      </c>
      <c r="F13" s="23" t="s">
        <v>248</v>
      </c>
      <c r="G13" s="23">
        <v>3</v>
      </c>
      <c r="H13" s="62" t="s">
        <v>254</v>
      </c>
    </row>
    <row r="14" spans="1:31" s="12" customFormat="1" x14ac:dyDescent="0.25">
      <c r="A14" s="37">
        <v>42345</v>
      </c>
      <c r="B14" s="23" t="s">
        <v>190</v>
      </c>
      <c r="C14" s="12" t="s">
        <v>13</v>
      </c>
      <c r="D14" s="12" t="s">
        <v>13</v>
      </c>
      <c r="E14" s="62" t="s">
        <v>257</v>
      </c>
      <c r="F14" s="23" t="s">
        <v>63</v>
      </c>
      <c r="G14" s="23">
        <v>1</v>
      </c>
      <c r="H14" s="62" t="s">
        <v>257</v>
      </c>
    </row>
    <row r="15" spans="1:31" s="12" customFormat="1" x14ac:dyDescent="0.25">
      <c r="A15" s="37">
        <v>42345</v>
      </c>
      <c r="B15" s="23" t="s">
        <v>190</v>
      </c>
      <c r="C15" s="12" t="s">
        <v>14</v>
      </c>
      <c r="D15" s="12" t="s">
        <v>59</v>
      </c>
      <c r="E15" s="23" t="s">
        <v>260</v>
      </c>
      <c r="F15" s="23" t="s">
        <v>66</v>
      </c>
      <c r="G15" s="23">
        <v>1</v>
      </c>
      <c r="H15" s="23" t="s">
        <v>260</v>
      </c>
    </row>
    <row r="16" spans="1:31" s="12" customFormat="1" x14ac:dyDescent="0.25">
      <c r="A16" s="37"/>
      <c r="B16" s="23"/>
      <c r="G16" s="23"/>
      <c r="AA16" s="23"/>
      <c r="AB16" s="23"/>
      <c r="AC16" s="23"/>
      <c r="AD16" s="23"/>
      <c r="AE16" s="23"/>
    </row>
    <row r="17" spans="1:31" s="12" customFormat="1" x14ac:dyDescent="0.25">
      <c r="A17" s="37"/>
      <c r="B17" s="23"/>
      <c r="G17" s="23"/>
      <c r="H17" s="23"/>
      <c r="AA17" s="7"/>
      <c r="AB17" s="7"/>
      <c r="AC17" s="50"/>
      <c r="AD17" s="51"/>
      <c r="AE17" s="52"/>
    </row>
    <row r="18" spans="1:31" x14ac:dyDescent="0.25">
      <c r="A18" s="37"/>
      <c r="B18" s="23"/>
      <c r="C18" s="12"/>
      <c r="D18" s="12"/>
      <c r="E18" s="12"/>
      <c r="F18" s="12"/>
      <c r="G18" s="23"/>
      <c r="H18" s="23"/>
    </row>
    <row r="19" spans="1:31" s="12" customFormat="1" x14ac:dyDescent="0.25">
      <c r="A19" s="37"/>
      <c r="B19" s="23"/>
      <c r="G19" s="23"/>
    </row>
    <row r="20" spans="1:31" s="12" customFormat="1" x14ac:dyDescent="0.25">
      <c r="A20" s="37"/>
      <c r="B20" s="23"/>
      <c r="G20" s="23"/>
      <c r="H20" s="23"/>
    </row>
    <row r="21" spans="1:31" s="12" customFormat="1" x14ac:dyDescent="0.25">
      <c r="A21" s="37"/>
      <c r="B21" s="23"/>
      <c r="C21" s="8"/>
      <c r="F21" s="61"/>
      <c r="G21" s="8"/>
      <c r="H21" s="61"/>
    </row>
    <row r="22" spans="1:31" s="12" customFormat="1" x14ac:dyDescent="0.25">
      <c r="A22" s="37"/>
      <c r="B22" s="23"/>
      <c r="F22" s="61"/>
      <c r="G22" s="23"/>
      <c r="H22" s="37"/>
    </row>
    <row r="23" spans="1:31" s="12" customFormat="1" x14ac:dyDescent="0.25">
      <c r="A23" s="37"/>
      <c r="B23" s="23"/>
      <c r="F23" s="62"/>
      <c r="G23" s="23"/>
      <c r="H23" s="62"/>
    </row>
    <row r="24" spans="1:31" s="12" customFormat="1" x14ac:dyDescent="0.25">
      <c r="A24" s="37"/>
      <c r="B24" s="23"/>
      <c r="F24" s="61"/>
      <c r="H24" s="62"/>
    </row>
    <row r="25" spans="1:31" s="12" customFormat="1" x14ac:dyDescent="0.25">
      <c r="A25" s="37"/>
      <c r="B25" s="23"/>
      <c r="G25" s="23"/>
      <c r="H25" s="62"/>
    </row>
    <row r="26" spans="1:31" s="12" customFormat="1" x14ac:dyDescent="0.25">
      <c r="A26" s="37"/>
      <c r="B26" s="23"/>
      <c r="G26" s="23"/>
      <c r="H26" s="62"/>
      <c r="AA26" s="7"/>
      <c r="AB26" s="7"/>
      <c r="AC26" s="50"/>
      <c r="AD26" s="51"/>
      <c r="AE26" s="52"/>
    </row>
    <row r="27" spans="1:31" s="12" customFormat="1" x14ac:dyDescent="0.25">
      <c r="A27" s="37"/>
      <c r="B27" s="23"/>
      <c r="G27" s="23"/>
      <c r="H27" s="62"/>
      <c r="AA27" s="7"/>
      <c r="AB27" s="7"/>
      <c r="AC27" s="50"/>
      <c r="AD27" s="51"/>
      <c r="AE27" s="52"/>
    </row>
    <row r="28" spans="1:31" s="12" customFormat="1" x14ac:dyDescent="0.25">
      <c r="A28" s="37"/>
      <c r="B28" s="23"/>
      <c r="G28" s="23"/>
      <c r="AA28" s="7"/>
      <c r="AB28" s="7"/>
      <c r="AC28" s="50"/>
      <c r="AD28" s="51"/>
      <c r="AE28" s="52"/>
    </row>
    <row r="29" spans="1:31" s="12" customFormat="1" x14ac:dyDescent="0.25">
      <c r="A29" s="37"/>
      <c r="B29" s="23"/>
      <c r="G29" s="23"/>
      <c r="H29" s="23"/>
      <c r="AA29" s="7"/>
      <c r="AB29" s="7"/>
      <c r="AC29" s="50"/>
      <c r="AD29" s="51"/>
      <c r="AE29" s="52"/>
    </row>
    <row r="30" spans="1:31" s="12" customFormat="1" x14ac:dyDescent="0.25">
      <c r="A30" s="37"/>
      <c r="B30" s="23"/>
      <c r="G30" s="23"/>
      <c r="H30" s="23"/>
    </row>
    <row r="31" spans="1:31" s="12" customFormat="1" x14ac:dyDescent="0.25">
      <c r="A31" s="37"/>
      <c r="B31" s="23"/>
      <c r="F31" s="61"/>
      <c r="G31" s="23"/>
      <c r="H31" s="37"/>
      <c r="AA31" s="23"/>
      <c r="AB31" s="23"/>
      <c r="AC31" s="23"/>
      <c r="AD31" s="23"/>
      <c r="AE31" s="23"/>
    </row>
    <row r="32" spans="1:31" s="12" customFormat="1" x14ac:dyDescent="0.25">
      <c r="A32" s="37"/>
      <c r="B32" s="23"/>
      <c r="G32" s="23"/>
      <c r="H32" s="37"/>
    </row>
    <row r="33" spans="1:30" s="12" customFormat="1" x14ac:dyDescent="0.25">
      <c r="A33" s="37"/>
      <c r="B33" s="23"/>
      <c r="F33" s="61"/>
      <c r="G33" s="23"/>
      <c r="H33" s="37"/>
      <c r="AB33" s="13" t="s">
        <v>41</v>
      </c>
      <c r="AC33" s="13" t="s">
        <v>67</v>
      </c>
      <c r="AD33" s="8"/>
    </row>
    <row r="34" spans="1:30" x14ac:dyDescent="0.25">
      <c r="A34" s="37"/>
      <c r="B34" s="23"/>
      <c r="C34" s="8"/>
      <c r="D34" s="12"/>
      <c r="E34" s="12"/>
      <c r="F34" s="61"/>
      <c r="G34" s="23"/>
      <c r="H34" s="63"/>
    </row>
    <row r="35" spans="1:30" s="12" customFormat="1" x14ac:dyDescent="0.25">
      <c r="A35" s="37"/>
      <c r="G35" s="23"/>
      <c r="H35" s="62"/>
    </row>
    <row r="36" spans="1:30" s="12" customFormat="1" x14ac:dyDescent="0.25">
      <c r="A36" s="37"/>
      <c r="B36" s="23"/>
      <c r="F36" s="61"/>
      <c r="G36" s="23"/>
      <c r="H36" s="37"/>
    </row>
    <row r="37" spans="1:30" s="12" customFormat="1" x14ac:dyDescent="0.25">
      <c r="A37" s="37"/>
      <c r="B37" s="23"/>
      <c r="F37" s="23"/>
      <c r="G37" s="23"/>
      <c r="H37" s="23"/>
    </row>
    <row r="38" spans="1:30" s="12" customFormat="1" x14ac:dyDescent="0.25">
      <c r="A38" s="37"/>
      <c r="B38" s="23"/>
      <c r="C38" s="8"/>
      <c r="F38" s="61"/>
      <c r="G38" s="8"/>
      <c r="H38" s="37"/>
    </row>
    <row r="39" spans="1:30" s="12" customFormat="1" x14ac:dyDescent="0.25">
      <c r="A39" s="37"/>
      <c r="B39" s="23"/>
      <c r="C39" s="8"/>
      <c r="F39" s="61"/>
      <c r="G39" s="23"/>
      <c r="H39" s="63"/>
    </row>
    <row r="40" spans="1:30" s="12" customFormat="1" x14ac:dyDescent="0.25">
      <c r="A40" s="37"/>
      <c r="B40" s="23"/>
      <c r="F40" s="61"/>
      <c r="G40" s="23"/>
      <c r="H40" s="37"/>
    </row>
    <row r="41" spans="1:30" s="12" customFormat="1" x14ac:dyDescent="0.25">
      <c r="A41" s="37"/>
      <c r="B41" s="23"/>
      <c r="G41" s="23"/>
      <c r="H41" s="37"/>
    </row>
    <row r="42" spans="1:30" x14ac:dyDescent="0.25">
      <c r="A42" s="37"/>
      <c r="B42" s="23"/>
      <c r="C42" s="12"/>
      <c r="D42" s="12"/>
      <c r="E42" s="12"/>
      <c r="F42" s="61"/>
      <c r="G42" s="23"/>
      <c r="H42" s="37"/>
    </row>
    <row r="43" spans="1:30" s="12" customFormat="1" x14ac:dyDescent="0.25">
      <c r="A43" s="37"/>
      <c r="B43" s="23"/>
      <c r="G43" s="23"/>
    </row>
    <row r="44" spans="1:30" s="12" customFormat="1" x14ac:dyDescent="0.25">
      <c r="A44" s="37"/>
      <c r="B44" s="23"/>
      <c r="C44" s="23"/>
      <c r="G44" s="23"/>
      <c r="H44" s="63"/>
    </row>
    <row r="45" spans="1:30" s="12" customFormat="1" x14ac:dyDescent="0.25">
      <c r="A45" s="37"/>
      <c r="B45" s="23"/>
      <c r="F45" s="61"/>
      <c r="G45" s="23"/>
      <c r="H45" s="37"/>
    </row>
    <row r="46" spans="1:30" s="12" customFormat="1" x14ac:dyDescent="0.25">
      <c r="A46" s="37"/>
      <c r="B46" s="23"/>
      <c r="F46" s="61"/>
      <c r="G46" s="23"/>
      <c r="H46" s="37"/>
    </row>
    <row r="47" spans="1:30" x14ac:dyDescent="0.25">
      <c r="A47" s="37"/>
      <c r="B47" s="23"/>
      <c r="C47" s="12"/>
      <c r="D47" s="12"/>
      <c r="E47" s="62"/>
      <c r="F47" s="12"/>
      <c r="G47" s="23"/>
      <c r="H47" s="62"/>
    </row>
    <row r="48" spans="1:30" s="12" customFormat="1" x14ac:dyDescent="0.25">
      <c r="A48" s="37"/>
      <c r="B48" s="23"/>
      <c r="G48" s="23"/>
      <c r="H48" s="37"/>
    </row>
    <row r="49" spans="1:8" s="12" customFormat="1" x14ac:dyDescent="0.25">
      <c r="A49" s="37"/>
      <c r="B49" s="23"/>
      <c r="E49" s="37"/>
      <c r="G49" s="23"/>
    </row>
    <row r="50" spans="1:8" s="12" customFormat="1" x14ac:dyDescent="0.25">
      <c r="A50" s="37"/>
      <c r="B50" s="23"/>
      <c r="G50" s="23"/>
      <c r="H50" s="37"/>
    </row>
    <row r="51" spans="1:8" s="12" customFormat="1" x14ac:dyDescent="0.25">
      <c r="A51" s="37"/>
      <c r="B51" s="23"/>
      <c r="G51" s="23"/>
    </row>
    <row r="52" spans="1:8" x14ac:dyDescent="0.25">
      <c r="C52" s="12"/>
      <c r="D52" s="12"/>
      <c r="E52" s="12"/>
      <c r="F52" s="12" t="str">
        <f>IFERROR(VLOOKUP(E52,'Data sheet'!$B:$C,2,0),"")</f>
        <v/>
      </c>
    </row>
    <row r="53" spans="1:8" x14ac:dyDescent="0.25">
      <c r="C53" s="12"/>
      <c r="D53" s="12"/>
      <c r="E53" s="12"/>
      <c r="F53" s="12" t="str">
        <f>IFERROR(VLOOKUP(E53,'Data sheet'!$B:$C,2,0),"")</f>
        <v/>
      </c>
    </row>
    <row r="54" spans="1:8" x14ac:dyDescent="0.25">
      <c r="C54" s="12"/>
      <c r="D54" s="12"/>
      <c r="E54" s="12"/>
      <c r="F54" s="12" t="str">
        <f>IFERROR(VLOOKUP(E54,'Data sheet'!$B:$C,2,0),"")</f>
        <v/>
      </c>
    </row>
    <row r="55" spans="1:8" x14ac:dyDescent="0.25">
      <c r="C55" s="12"/>
      <c r="D55" s="12"/>
      <c r="E55" s="12"/>
      <c r="F55" s="12" t="str">
        <f>IFERROR(VLOOKUP(E55,'Data sheet'!$B:$C,2,0),"")</f>
        <v/>
      </c>
    </row>
    <row r="56" spans="1:8" x14ac:dyDescent="0.25">
      <c r="C56" s="12"/>
      <c r="D56" s="12"/>
      <c r="E56" s="12"/>
      <c r="F56" s="12" t="str">
        <f>IFERROR(VLOOKUP(E56,'Data sheet'!$B:$C,2,0),"")</f>
        <v/>
      </c>
    </row>
    <row r="57" spans="1:8" x14ac:dyDescent="0.25">
      <c r="C57" s="12"/>
      <c r="D57" s="12"/>
      <c r="E57" s="12"/>
      <c r="F57" s="12" t="str">
        <f>IFERROR(VLOOKUP(E57,'Data sheet'!$B:$C,2,0),"")</f>
        <v/>
      </c>
    </row>
    <row r="58" spans="1:8" x14ac:dyDescent="0.25">
      <c r="C58" s="12"/>
      <c r="D58" s="12"/>
      <c r="E58" s="12"/>
      <c r="F58" s="12" t="str">
        <f>IFERROR(VLOOKUP(E58,'Data sheet'!$B:$C,2,0),"")</f>
        <v/>
      </c>
    </row>
    <row r="59" spans="1:8" x14ac:dyDescent="0.25">
      <c r="C59" s="12"/>
      <c r="D59" s="12"/>
      <c r="E59" s="12"/>
      <c r="F59" s="12" t="str">
        <f>IFERROR(VLOOKUP(E59,'Data sheet'!$B:$C,2,0),"")</f>
        <v/>
      </c>
    </row>
    <row r="60" spans="1:8" x14ac:dyDescent="0.25">
      <c r="C60" s="12"/>
      <c r="D60" s="12"/>
      <c r="E60" s="12"/>
      <c r="F60" s="12" t="str">
        <f>IFERROR(VLOOKUP(E60,'Data sheet'!$B:$C,2,0),"")</f>
        <v/>
      </c>
    </row>
    <row r="61" spans="1:8" x14ac:dyDescent="0.25">
      <c r="C61" s="12"/>
      <c r="D61" s="12"/>
      <c r="E61" s="12"/>
      <c r="F61" s="12" t="str">
        <f>IFERROR(VLOOKUP(E61,'Data sheet'!$B:$C,2,0),"")</f>
        <v/>
      </c>
    </row>
    <row r="62" spans="1:8" x14ac:dyDescent="0.25">
      <c r="C62" s="12"/>
      <c r="D62" s="12"/>
      <c r="E62" s="12"/>
      <c r="F62" s="12" t="str">
        <f>IFERROR(VLOOKUP(E62,'Data sheet'!$B:$C,2,0),"")</f>
        <v/>
      </c>
    </row>
    <row r="63" spans="1:8" x14ac:dyDescent="0.25">
      <c r="C63" s="12"/>
      <c r="D63" s="12"/>
      <c r="E63" s="12"/>
      <c r="F63" s="12" t="str">
        <f>IFERROR(VLOOKUP(E63,'Data sheet'!$B:$C,2,0),"")</f>
        <v/>
      </c>
    </row>
    <row r="64" spans="1:8" x14ac:dyDescent="0.25">
      <c r="C64" s="12"/>
      <c r="D64" s="12"/>
      <c r="E64" s="12"/>
      <c r="F64" s="12" t="str">
        <f>IFERROR(VLOOKUP(E64,'Data sheet'!$B:$C,2,0),"")</f>
        <v/>
      </c>
    </row>
    <row r="65" spans="3:6" x14ac:dyDescent="0.25">
      <c r="C65" s="12"/>
      <c r="D65" s="12"/>
      <c r="E65" s="12"/>
      <c r="F65" s="12" t="str">
        <f>IFERROR(VLOOKUP(E65,'Data sheet'!$B:$C,2,0),"")</f>
        <v/>
      </c>
    </row>
    <row r="66" spans="3:6" x14ac:dyDescent="0.25">
      <c r="C66" s="12"/>
      <c r="D66" s="12"/>
      <c r="E66" s="12"/>
      <c r="F66" s="12" t="str">
        <f>IFERROR(VLOOKUP(E66,'Data sheet'!$B:$C,2,0),"")</f>
        <v/>
      </c>
    </row>
    <row r="67" spans="3:6" x14ac:dyDescent="0.25">
      <c r="C67" s="12"/>
      <c r="D67" s="12"/>
      <c r="E67" s="12"/>
      <c r="F67" s="12" t="str">
        <f>IFERROR(VLOOKUP(E67,'Data sheet'!$B:$C,2,0),"")</f>
        <v/>
      </c>
    </row>
    <row r="68" spans="3:6" x14ac:dyDescent="0.25">
      <c r="C68" s="12"/>
      <c r="D68" s="12"/>
      <c r="E68" s="12"/>
      <c r="F68" s="12" t="str">
        <f>IFERROR(VLOOKUP(E68,'Data sheet'!$B:$C,2,0),"")</f>
        <v/>
      </c>
    </row>
    <row r="69" spans="3:6" x14ac:dyDescent="0.25">
      <c r="C69" s="12"/>
      <c r="D69" s="12"/>
      <c r="E69" s="12"/>
      <c r="F69" s="12" t="str">
        <f>IFERROR(VLOOKUP(E69,'Data sheet'!$B:$C,2,0),"")</f>
        <v/>
      </c>
    </row>
    <row r="70" spans="3:6" x14ac:dyDescent="0.25">
      <c r="C70" s="12"/>
      <c r="D70" s="12"/>
      <c r="E70" s="12"/>
      <c r="F70" s="12" t="str">
        <f>IFERROR(VLOOKUP(E70,'Data sheet'!$B:$C,2,0),"")</f>
        <v/>
      </c>
    </row>
    <row r="71" spans="3:6" x14ac:dyDescent="0.25">
      <c r="C71" s="12"/>
      <c r="D71" s="12"/>
      <c r="E71" s="12"/>
      <c r="F71" s="12" t="str">
        <f>IFERROR(VLOOKUP(E71,'Data sheet'!$B:$C,2,0),"")</f>
        <v/>
      </c>
    </row>
    <row r="72" spans="3:6" x14ac:dyDescent="0.25">
      <c r="C72" s="12"/>
      <c r="D72" s="12"/>
      <c r="E72" s="12"/>
      <c r="F72" s="12" t="str">
        <f>IFERROR(VLOOKUP(E72,'Data sheet'!$B:$C,2,0),"")</f>
        <v/>
      </c>
    </row>
    <row r="73" spans="3:6" x14ac:dyDescent="0.25">
      <c r="C73" s="12"/>
      <c r="D73" s="12"/>
      <c r="E73" s="12"/>
      <c r="F73" s="12" t="str">
        <f>IFERROR(VLOOKUP(E73,'Data sheet'!$B:$C,2,0),"")</f>
        <v/>
      </c>
    </row>
    <row r="74" spans="3:6" x14ac:dyDescent="0.25">
      <c r="C74" s="12"/>
      <c r="D74" s="12"/>
      <c r="E74" s="12"/>
      <c r="F74" s="12" t="str">
        <f>IFERROR(VLOOKUP(E74,'Data sheet'!$B:$C,2,0),"")</f>
        <v/>
      </c>
    </row>
    <row r="75" spans="3:6" x14ac:dyDescent="0.25">
      <c r="C75" s="12"/>
      <c r="D75" s="12"/>
      <c r="E75" s="12"/>
      <c r="F75" s="12" t="str">
        <f>IFERROR(VLOOKUP(E75,'Data sheet'!$B:$C,2,0),"")</f>
        <v/>
      </c>
    </row>
    <row r="76" spans="3:6" x14ac:dyDescent="0.25">
      <c r="C76" s="12"/>
      <c r="D76" s="12"/>
      <c r="E76" s="12"/>
      <c r="F76" s="12" t="str">
        <f>IFERROR(VLOOKUP(E76,'Data sheet'!$B:$C,2,0),"")</f>
        <v/>
      </c>
    </row>
    <row r="77" spans="3:6" x14ac:dyDescent="0.25">
      <c r="C77" s="12"/>
      <c r="D77" s="12"/>
      <c r="E77" s="12"/>
      <c r="F77" s="12" t="str">
        <f>IFERROR(VLOOKUP(E77,'Data sheet'!$B:$C,2,0),"")</f>
        <v/>
      </c>
    </row>
    <row r="78" spans="3:6" x14ac:dyDescent="0.25">
      <c r="C78" s="12"/>
      <c r="D78" s="12"/>
      <c r="E78" s="12"/>
      <c r="F78" s="12" t="str">
        <f>IFERROR(VLOOKUP(E78,'Data sheet'!$B:$C,2,0),"")</f>
        <v/>
      </c>
    </row>
    <row r="79" spans="3:6" x14ac:dyDescent="0.25">
      <c r="C79" s="12"/>
      <c r="D79" s="12"/>
      <c r="E79" s="12"/>
      <c r="F79" s="12" t="str">
        <f>IFERROR(VLOOKUP(E79,'Data sheet'!$B:$C,2,0),"")</f>
        <v/>
      </c>
    </row>
    <row r="80" spans="3:6" x14ac:dyDescent="0.25">
      <c r="C80" s="12"/>
      <c r="D80" s="12"/>
      <c r="E80" s="12"/>
      <c r="F80" s="12" t="str">
        <f>IFERROR(VLOOKUP(E80,'Data sheet'!$B:$C,2,0),"")</f>
        <v/>
      </c>
    </row>
    <row r="81" spans="3:6" x14ac:dyDescent="0.25">
      <c r="C81" s="12"/>
      <c r="D81" s="12"/>
      <c r="E81" s="12"/>
      <c r="F81" s="12" t="str">
        <f>IFERROR(VLOOKUP(E81,'Data sheet'!$B:$C,2,0),"")</f>
        <v/>
      </c>
    </row>
    <row r="82" spans="3:6" x14ac:dyDescent="0.25">
      <c r="C82" s="12"/>
      <c r="D82" s="12"/>
      <c r="E82" s="12"/>
      <c r="F82" s="12" t="str">
        <f>IFERROR(VLOOKUP(E82,'Data sheet'!$B:$C,2,0),"")</f>
        <v/>
      </c>
    </row>
    <row r="83" spans="3:6" x14ac:dyDescent="0.25">
      <c r="C83" s="12"/>
      <c r="D83" s="12"/>
      <c r="E83" s="12"/>
      <c r="F83" s="12" t="str">
        <f>IFERROR(VLOOKUP(E83,'Data sheet'!$B:$C,2,0),"")</f>
        <v/>
      </c>
    </row>
    <row r="84" spans="3:6" x14ac:dyDescent="0.25">
      <c r="C84" s="12"/>
      <c r="D84" s="12"/>
      <c r="E84" s="12"/>
      <c r="F84" s="12" t="str">
        <f>IFERROR(VLOOKUP(E84,'Data sheet'!$B:$C,2,0),"")</f>
        <v/>
      </c>
    </row>
    <row r="85" spans="3:6" x14ac:dyDescent="0.25">
      <c r="C85" s="12"/>
      <c r="D85" s="12"/>
      <c r="E85" s="12"/>
      <c r="F85" s="12" t="str">
        <f>IFERROR(VLOOKUP(E85,'Data sheet'!$B:$C,2,0),"")</f>
        <v/>
      </c>
    </row>
    <row r="86" spans="3:6" x14ac:dyDescent="0.25">
      <c r="C86" s="12"/>
      <c r="D86" s="12"/>
      <c r="E86" s="12"/>
      <c r="F86" s="12" t="str">
        <f>IFERROR(VLOOKUP(E86,'Data sheet'!$B:$C,2,0),"")</f>
        <v/>
      </c>
    </row>
    <row r="87" spans="3:6" x14ac:dyDescent="0.25">
      <c r="C87" s="12"/>
      <c r="D87" s="12"/>
      <c r="E87" s="12"/>
      <c r="F87" s="12" t="str">
        <f>IFERROR(VLOOKUP(E87,'Data sheet'!$B:$C,2,0),"")</f>
        <v/>
      </c>
    </row>
    <row r="88" spans="3:6" x14ac:dyDescent="0.25">
      <c r="C88" s="12"/>
      <c r="D88" s="12"/>
      <c r="E88" s="12"/>
      <c r="F88" s="12" t="str">
        <f>IFERROR(VLOOKUP(E88,'Data sheet'!$B:$C,2,0),"")</f>
        <v/>
      </c>
    </row>
    <row r="89" spans="3:6" x14ac:dyDescent="0.25">
      <c r="C89" s="12"/>
      <c r="D89" s="12"/>
      <c r="E89" s="12"/>
      <c r="F89" s="12" t="str">
        <f>IFERROR(VLOOKUP(E89,'Data sheet'!$B:$C,2,0),"")</f>
        <v/>
      </c>
    </row>
    <row r="90" spans="3:6" x14ac:dyDescent="0.25">
      <c r="C90" s="12"/>
      <c r="D90" s="12"/>
      <c r="E90" s="12"/>
      <c r="F90" s="12" t="str">
        <f>IFERROR(VLOOKUP(E90,'Data sheet'!$B:$C,2,0),"")</f>
        <v/>
      </c>
    </row>
    <row r="91" spans="3:6" x14ac:dyDescent="0.25">
      <c r="C91" s="12"/>
      <c r="D91" s="12"/>
      <c r="E91" s="12"/>
      <c r="F91" s="12" t="str">
        <f>IFERROR(VLOOKUP(E91,'Data sheet'!$B:$C,2,0),"")</f>
        <v/>
      </c>
    </row>
    <row r="92" spans="3:6" x14ac:dyDescent="0.25">
      <c r="C92" s="12"/>
      <c r="D92" s="12"/>
      <c r="E92" s="12"/>
      <c r="F92" s="12" t="str">
        <f>IFERROR(VLOOKUP(E92,'Data sheet'!$B:$C,2,0),"")</f>
        <v/>
      </c>
    </row>
    <row r="93" spans="3:6" x14ac:dyDescent="0.25">
      <c r="C93" s="12"/>
      <c r="D93" s="12"/>
      <c r="E93" s="12"/>
      <c r="F93" s="12" t="str">
        <f>IFERROR(VLOOKUP(E93,'Data sheet'!$B:$C,2,0),"")</f>
        <v/>
      </c>
    </row>
    <row r="94" spans="3:6" x14ac:dyDescent="0.25">
      <c r="C94" s="12"/>
      <c r="D94" s="12"/>
      <c r="E94" s="12"/>
      <c r="F94" s="12" t="str">
        <f>IFERROR(VLOOKUP(E94,'Data sheet'!$B:$C,2,0),"")</f>
        <v/>
      </c>
    </row>
    <row r="95" spans="3:6" x14ac:dyDescent="0.25">
      <c r="C95" s="12"/>
      <c r="D95" s="12"/>
      <c r="E95" s="12"/>
      <c r="F95" s="12" t="str">
        <f>IFERROR(VLOOKUP(E95,'Data sheet'!$B:$C,2,0),"")</f>
        <v/>
      </c>
    </row>
    <row r="96" spans="3:6" x14ac:dyDescent="0.25">
      <c r="C96" s="12"/>
      <c r="D96" s="12"/>
      <c r="E96" s="12"/>
      <c r="F96" s="12" t="str">
        <f>IFERROR(VLOOKUP(E96,'Data sheet'!$B:$C,2,0),"")</f>
        <v/>
      </c>
    </row>
    <row r="97" spans="3:6" x14ac:dyDescent="0.25">
      <c r="C97" s="12"/>
      <c r="D97" s="12"/>
      <c r="E97" s="12"/>
      <c r="F97" s="12" t="str">
        <f>IFERROR(VLOOKUP(E97,'Data sheet'!$B:$C,2,0),"")</f>
        <v/>
      </c>
    </row>
    <row r="98" spans="3:6" x14ac:dyDescent="0.25">
      <c r="C98" s="12"/>
      <c r="D98" s="12"/>
      <c r="E98" s="12"/>
      <c r="F98" s="12" t="str">
        <f>IFERROR(VLOOKUP(E98,'Data sheet'!$B:$C,2,0),"")</f>
        <v/>
      </c>
    </row>
    <row r="99" spans="3:6" x14ac:dyDescent="0.25">
      <c r="C99" s="12"/>
      <c r="D99" s="12"/>
      <c r="E99" s="12"/>
      <c r="F99" s="12" t="str">
        <f>IFERROR(VLOOKUP(E99,'Data sheet'!$B:$C,2,0),"")</f>
        <v/>
      </c>
    </row>
    <row r="100" spans="3:6" x14ac:dyDescent="0.25">
      <c r="C100" s="12"/>
      <c r="D100" s="12"/>
      <c r="E100" s="12"/>
      <c r="F100" s="12" t="str">
        <f>IFERROR(VLOOKUP(E100,'Data sheet'!$B:$C,2,0),"")</f>
        <v/>
      </c>
    </row>
    <row r="101" spans="3:6" x14ac:dyDescent="0.25">
      <c r="C101" s="12"/>
      <c r="D101" s="12"/>
      <c r="E101" s="12"/>
      <c r="F101" s="12" t="str">
        <f>IFERROR(VLOOKUP(E101,'Data sheet'!$B:$C,2,0),"")</f>
        <v/>
      </c>
    </row>
    <row r="102" spans="3:6" x14ac:dyDescent="0.25">
      <c r="C102" s="12"/>
      <c r="D102" s="12"/>
      <c r="E102" s="12"/>
      <c r="F102" s="12" t="str">
        <f>IFERROR(VLOOKUP(E102,'Data sheet'!$B:$C,2,0),"")</f>
        <v/>
      </c>
    </row>
    <row r="103" spans="3:6" x14ac:dyDescent="0.25">
      <c r="C103" s="12"/>
      <c r="D103" s="12"/>
      <c r="E103" s="12"/>
      <c r="F103" s="12" t="str">
        <f>IFERROR(VLOOKUP(E103,'Data sheet'!$B:$C,2,0),"")</f>
        <v/>
      </c>
    </row>
    <row r="104" spans="3:6" x14ac:dyDescent="0.25">
      <c r="C104" s="12"/>
      <c r="D104" s="12"/>
      <c r="E104" s="12"/>
      <c r="F104" s="12" t="str">
        <f>IFERROR(VLOOKUP(E104,'Data sheet'!$B:$C,2,0),"")</f>
        <v/>
      </c>
    </row>
    <row r="105" spans="3:6" x14ac:dyDescent="0.25">
      <c r="C105" s="12"/>
      <c r="D105" s="12"/>
      <c r="E105" s="12"/>
      <c r="F105" s="12" t="str">
        <f>IFERROR(VLOOKUP(E105,'Data sheet'!$B:$C,2,0),"")</f>
        <v/>
      </c>
    </row>
    <row r="106" spans="3:6" x14ac:dyDescent="0.25">
      <c r="C106" s="12"/>
      <c r="D106" s="12"/>
      <c r="E106" s="12"/>
      <c r="F106" s="12" t="str">
        <f>IFERROR(VLOOKUP(E106,'Data sheet'!$B:$C,2,0),"")</f>
        <v/>
      </c>
    </row>
    <row r="107" spans="3:6" x14ac:dyDescent="0.25">
      <c r="C107" s="12"/>
      <c r="D107" s="12"/>
      <c r="E107" s="12"/>
      <c r="F107" s="12" t="str">
        <f>IFERROR(VLOOKUP(E107,'Data sheet'!$B:$C,2,0),"")</f>
        <v/>
      </c>
    </row>
    <row r="108" spans="3:6" x14ac:dyDescent="0.25">
      <c r="C108" s="12"/>
      <c r="D108" s="12"/>
      <c r="E108" s="12"/>
      <c r="F108" s="12" t="str">
        <f>IFERROR(VLOOKUP(E108,'Data sheet'!$B:$C,2,0),"")</f>
        <v/>
      </c>
    </row>
    <row r="109" spans="3:6" x14ac:dyDescent="0.25">
      <c r="C109" s="12"/>
      <c r="D109" s="12"/>
      <c r="E109" s="12"/>
      <c r="F109" s="12" t="str">
        <f>IFERROR(VLOOKUP(E109,'Data sheet'!$B:$C,2,0),"")</f>
        <v/>
      </c>
    </row>
    <row r="110" spans="3:6" x14ac:dyDescent="0.25">
      <c r="C110" s="12"/>
      <c r="D110" s="12"/>
      <c r="E110" s="12"/>
      <c r="F110" s="12" t="str">
        <f>IFERROR(VLOOKUP(E110,'Data sheet'!$B:$C,2,0),"")</f>
        <v/>
      </c>
    </row>
    <row r="111" spans="3:6" x14ac:dyDescent="0.25">
      <c r="C111" s="12"/>
      <c r="D111" s="12"/>
      <c r="E111" s="12"/>
      <c r="F111" s="12" t="str">
        <f>IFERROR(VLOOKUP(E111,'Data sheet'!$B:$C,2,0),"")</f>
        <v/>
      </c>
    </row>
    <row r="112" spans="3:6" x14ac:dyDescent="0.25">
      <c r="C112" s="12"/>
      <c r="D112" s="12"/>
      <c r="E112" s="12"/>
      <c r="F112" s="12" t="str">
        <f>IFERROR(VLOOKUP(E112,'Data sheet'!$B:$C,2,0),"")</f>
        <v/>
      </c>
    </row>
    <row r="113" spans="3:6" x14ac:dyDescent="0.25">
      <c r="C113" s="12"/>
      <c r="D113" s="12"/>
      <c r="E113" s="12"/>
      <c r="F113" s="12" t="str">
        <f>IFERROR(VLOOKUP(E113,'Data sheet'!$B:$C,2,0),"")</f>
        <v/>
      </c>
    </row>
    <row r="114" spans="3:6" x14ac:dyDescent="0.25">
      <c r="C114" s="12"/>
      <c r="D114" s="12"/>
      <c r="E114" s="12"/>
      <c r="F114" s="12" t="str">
        <f>IFERROR(VLOOKUP(E114,'Data sheet'!$B:$C,2,0),"")</f>
        <v/>
      </c>
    </row>
    <row r="115" spans="3:6" x14ac:dyDescent="0.25">
      <c r="C115" s="12"/>
      <c r="D115" s="12"/>
      <c r="E115" s="12"/>
      <c r="F115" s="12" t="str">
        <f>IFERROR(VLOOKUP(E115,'Data sheet'!$B:$C,2,0),"")</f>
        <v/>
      </c>
    </row>
    <row r="116" spans="3:6" x14ac:dyDescent="0.25">
      <c r="C116" s="12"/>
      <c r="D116" s="12"/>
      <c r="E116" s="12"/>
      <c r="F116" s="12" t="str">
        <f>IFERROR(VLOOKUP(E116,'Data sheet'!$B:$C,2,0),"")</f>
        <v/>
      </c>
    </row>
    <row r="117" spans="3:6" x14ac:dyDescent="0.25">
      <c r="C117" s="12"/>
      <c r="D117" s="12"/>
      <c r="E117" s="12"/>
      <c r="F117" s="12" t="str">
        <f>IFERROR(VLOOKUP(E117,'Data sheet'!$B:$C,2,0),"")</f>
        <v/>
      </c>
    </row>
    <row r="118" spans="3:6" x14ac:dyDescent="0.25">
      <c r="C118" s="12"/>
      <c r="D118" s="12"/>
      <c r="E118" s="12"/>
      <c r="F118" s="12" t="str">
        <f>IFERROR(VLOOKUP(E118,'Data sheet'!$B:$C,2,0),"")</f>
        <v/>
      </c>
    </row>
    <row r="119" spans="3:6" x14ac:dyDescent="0.25">
      <c r="C119" s="12"/>
      <c r="D119" s="12"/>
      <c r="E119" s="12"/>
      <c r="F119" s="12" t="str">
        <f>IFERROR(VLOOKUP(E119,'Data sheet'!$B:$C,2,0),"")</f>
        <v/>
      </c>
    </row>
    <row r="120" spans="3:6" x14ac:dyDescent="0.25">
      <c r="C120" s="12"/>
      <c r="D120" s="12"/>
      <c r="E120" s="12"/>
      <c r="F120" s="12" t="str">
        <f>IFERROR(VLOOKUP(E120,'Data sheet'!$B:$C,2,0),"")</f>
        <v/>
      </c>
    </row>
    <row r="121" spans="3:6" x14ac:dyDescent="0.25">
      <c r="C121" s="12"/>
      <c r="D121" s="12"/>
      <c r="E121" s="12"/>
      <c r="F121" s="12" t="str">
        <f>IFERROR(VLOOKUP(E121,'Data sheet'!$B:$C,2,0),"")</f>
        <v/>
      </c>
    </row>
    <row r="122" spans="3:6" x14ac:dyDescent="0.25">
      <c r="C122" s="12"/>
      <c r="D122" s="12"/>
      <c r="E122" s="12"/>
      <c r="F122" s="12" t="str">
        <f>IFERROR(VLOOKUP(E122,'Data sheet'!$B:$C,2,0),"")</f>
        <v/>
      </c>
    </row>
    <row r="123" spans="3:6" x14ac:dyDescent="0.25">
      <c r="C123" s="12"/>
      <c r="D123" s="12"/>
      <c r="E123" s="12"/>
      <c r="F123" s="12" t="str">
        <f>IFERROR(VLOOKUP(E123,'Data sheet'!$B:$C,2,0),"")</f>
        <v/>
      </c>
    </row>
    <row r="124" spans="3:6" x14ac:dyDescent="0.25">
      <c r="C124" s="12"/>
      <c r="D124" s="12"/>
      <c r="E124" s="12"/>
      <c r="F124" s="12" t="str">
        <f>IFERROR(VLOOKUP(E124,'Data sheet'!$B:$C,2,0),"")</f>
        <v/>
      </c>
    </row>
    <row r="125" spans="3:6" x14ac:dyDescent="0.25">
      <c r="C125" s="12"/>
      <c r="D125" s="12"/>
      <c r="E125" s="12"/>
      <c r="F125" s="12" t="str">
        <f>IFERROR(VLOOKUP(E125,'Data sheet'!$B:$C,2,0),"")</f>
        <v/>
      </c>
    </row>
    <row r="126" spans="3:6" x14ac:dyDescent="0.25">
      <c r="C126" s="12"/>
      <c r="D126" s="12"/>
      <c r="E126" s="12"/>
      <c r="F126" s="12" t="str">
        <f>IFERROR(VLOOKUP(E126,'Data sheet'!$B:$C,2,0),"")</f>
        <v/>
      </c>
    </row>
    <row r="127" spans="3:6" x14ac:dyDescent="0.25">
      <c r="C127" s="12"/>
      <c r="D127" s="12"/>
      <c r="E127" s="12"/>
      <c r="F127" s="12" t="str">
        <f>IFERROR(VLOOKUP(E127,'Data sheet'!$B:$C,2,0),"")</f>
        <v/>
      </c>
    </row>
    <row r="128" spans="3:6" x14ac:dyDescent="0.25">
      <c r="C128" s="12"/>
      <c r="D128" s="12"/>
      <c r="E128" s="12"/>
      <c r="F128" s="12" t="str">
        <f>IFERROR(VLOOKUP(E128,'Data sheet'!$B:$C,2,0),"")</f>
        <v/>
      </c>
    </row>
    <row r="129" spans="3:6" x14ac:dyDescent="0.25">
      <c r="C129" s="12"/>
      <c r="D129" s="12"/>
      <c r="E129" s="12"/>
      <c r="F129" s="12" t="str">
        <f>IFERROR(VLOOKUP(E129,'Data sheet'!$B:$C,2,0),"")</f>
        <v/>
      </c>
    </row>
    <row r="130" spans="3:6" x14ac:dyDescent="0.25">
      <c r="C130" s="12"/>
      <c r="D130" s="12"/>
      <c r="E130" s="12"/>
      <c r="F130" s="12" t="str">
        <f>IFERROR(VLOOKUP(E130,'Data sheet'!$B:$C,2,0),"")</f>
        <v/>
      </c>
    </row>
    <row r="131" spans="3:6" x14ac:dyDescent="0.25">
      <c r="C131" s="12"/>
      <c r="D131" s="12"/>
      <c r="E131" s="12"/>
      <c r="F131" s="12" t="str">
        <f>IFERROR(VLOOKUP(E131,'Data sheet'!$B:$C,2,0),"")</f>
        <v/>
      </c>
    </row>
    <row r="132" spans="3:6" x14ac:dyDescent="0.25">
      <c r="C132" s="12"/>
      <c r="D132" s="12"/>
      <c r="E132" s="12"/>
      <c r="F132" s="12" t="str">
        <f>IFERROR(VLOOKUP(E132,'Data sheet'!$B:$C,2,0),"")</f>
        <v/>
      </c>
    </row>
    <row r="133" spans="3:6" x14ac:dyDescent="0.25">
      <c r="C133" s="12"/>
      <c r="D133" s="12"/>
      <c r="E133" s="12"/>
      <c r="F133" s="12" t="str">
        <f>IFERROR(VLOOKUP(E133,'Data sheet'!$B:$C,2,0),"")</f>
        <v/>
      </c>
    </row>
    <row r="134" spans="3:6" x14ac:dyDescent="0.25">
      <c r="C134" s="12"/>
      <c r="D134" s="12"/>
      <c r="E134" s="12"/>
      <c r="F134" s="12" t="str">
        <f>IFERROR(VLOOKUP(E134,'Data sheet'!$B:$C,2,0),"")</f>
        <v/>
      </c>
    </row>
    <row r="135" spans="3:6" x14ac:dyDescent="0.25">
      <c r="C135" s="12"/>
      <c r="D135" s="12"/>
      <c r="E135" s="12"/>
      <c r="F135" s="12" t="str">
        <f>IFERROR(VLOOKUP(E135,'Data sheet'!$B:$C,2,0),"")</f>
        <v/>
      </c>
    </row>
    <row r="136" spans="3:6" x14ac:dyDescent="0.25">
      <c r="C136" s="12"/>
      <c r="D136" s="12"/>
      <c r="E136" s="12"/>
      <c r="F136" s="12" t="str">
        <f>IFERROR(VLOOKUP(E136,'Data sheet'!$B:$C,2,0),"")</f>
        <v/>
      </c>
    </row>
    <row r="137" spans="3:6" x14ac:dyDescent="0.25">
      <c r="C137" s="12"/>
      <c r="D137" s="12"/>
      <c r="E137" s="12"/>
      <c r="F137" s="12" t="str">
        <f>IFERROR(VLOOKUP(E137,'Data sheet'!$B:$C,2,0),"")</f>
        <v/>
      </c>
    </row>
    <row r="138" spans="3:6" x14ac:dyDescent="0.25">
      <c r="C138" s="12"/>
      <c r="D138" s="12"/>
      <c r="E138" s="12"/>
      <c r="F138" s="12" t="str">
        <f>IFERROR(VLOOKUP(E138,'Data sheet'!$B:$C,2,0),"")</f>
        <v/>
      </c>
    </row>
    <row r="139" spans="3:6" x14ac:dyDescent="0.25">
      <c r="C139" s="12"/>
      <c r="D139" s="12"/>
      <c r="E139" s="12"/>
      <c r="F139" s="12" t="str">
        <f>IFERROR(VLOOKUP(E139,'Data sheet'!$B:$C,2,0),"")</f>
        <v/>
      </c>
    </row>
    <row r="140" spans="3:6" x14ac:dyDescent="0.25">
      <c r="C140" s="12"/>
      <c r="D140" s="12"/>
      <c r="E140" s="12"/>
      <c r="F140" s="12" t="str">
        <f>IFERROR(VLOOKUP(E140,'Data sheet'!$B:$C,2,0),"")</f>
        <v/>
      </c>
    </row>
    <row r="141" spans="3:6" x14ac:dyDescent="0.25">
      <c r="C141" s="12"/>
      <c r="D141" s="12"/>
      <c r="E141" s="12"/>
      <c r="F141" s="12" t="str">
        <f>IFERROR(VLOOKUP(E141,'Data sheet'!$B:$C,2,0),"")</f>
        <v/>
      </c>
    </row>
    <row r="142" spans="3:6" x14ac:dyDescent="0.25">
      <c r="C142" s="12"/>
      <c r="D142" s="12"/>
      <c r="E142" s="12"/>
      <c r="F142" s="12" t="str">
        <f>IFERROR(VLOOKUP(E142,'Data sheet'!$B:$C,2,0),"")</f>
        <v/>
      </c>
    </row>
    <row r="143" spans="3:6" x14ac:dyDescent="0.25">
      <c r="C143" s="12"/>
      <c r="D143" s="12"/>
      <c r="E143" s="12"/>
      <c r="F143" s="12" t="str">
        <f>IFERROR(VLOOKUP(E143,'Data sheet'!$B:$C,2,0),"")</f>
        <v/>
      </c>
    </row>
    <row r="144" spans="3:6" x14ac:dyDescent="0.25">
      <c r="C144" s="12"/>
      <c r="D144" s="12"/>
      <c r="E144" s="12"/>
      <c r="F144" s="12" t="str">
        <f>IFERROR(VLOOKUP(E144,'Data sheet'!$B:$C,2,0),"")</f>
        <v/>
      </c>
    </row>
    <row r="145" spans="3:6" x14ac:dyDescent="0.25">
      <c r="C145" s="12"/>
      <c r="D145" s="12"/>
      <c r="E145" s="12"/>
      <c r="F145" s="12" t="str">
        <f>IFERROR(VLOOKUP(E145,'Data sheet'!$B:$C,2,0),"")</f>
        <v/>
      </c>
    </row>
    <row r="146" spans="3:6" x14ac:dyDescent="0.25">
      <c r="C146" s="12"/>
      <c r="D146" s="12"/>
      <c r="E146" s="12"/>
      <c r="F146" s="12" t="str">
        <f>IFERROR(VLOOKUP(E146,'Data sheet'!$B:$C,2,0),"")</f>
        <v/>
      </c>
    </row>
    <row r="147" spans="3:6" x14ac:dyDescent="0.25">
      <c r="C147" s="12"/>
      <c r="D147" s="12"/>
      <c r="E147" s="12"/>
      <c r="F147" s="12" t="str">
        <f>IFERROR(VLOOKUP(E147,'Data sheet'!$B:$C,2,0),"")</f>
        <v/>
      </c>
    </row>
    <row r="148" spans="3:6" x14ac:dyDescent="0.25">
      <c r="C148" s="12"/>
      <c r="D148" s="12"/>
      <c r="E148" s="12"/>
      <c r="F148" s="12" t="str">
        <f>IFERROR(VLOOKUP(E148,'Data sheet'!$B:$C,2,0),"")</f>
        <v/>
      </c>
    </row>
    <row r="149" spans="3:6" x14ac:dyDescent="0.25">
      <c r="C149" s="12"/>
      <c r="D149" s="12"/>
      <c r="E149" s="12"/>
      <c r="F149" s="12" t="str">
        <f>IFERROR(VLOOKUP(E149,'Data sheet'!$B:$C,2,0),"")</f>
        <v/>
      </c>
    </row>
    <row r="150" spans="3:6" x14ac:dyDescent="0.25">
      <c r="C150" s="12"/>
      <c r="D150" s="12"/>
      <c r="E150" s="12"/>
      <c r="F150" s="12" t="str">
        <f>IFERROR(VLOOKUP(E150,'Data sheet'!$B:$C,2,0),"")</f>
        <v/>
      </c>
    </row>
    <row r="151" spans="3:6" x14ac:dyDescent="0.25">
      <c r="C151" s="12"/>
      <c r="D151" s="12"/>
      <c r="E151" s="12"/>
      <c r="F151" s="12" t="str">
        <f>IFERROR(VLOOKUP(E151,'Data sheet'!$B:$C,2,0),"")</f>
        <v/>
      </c>
    </row>
    <row r="152" spans="3:6" x14ac:dyDescent="0.25">
      <c r="C152" s="12"/>
      <c r="D152" s="12"/>
      <c r="E152" s="12"/>
      <c r="F152" s="12" t="str">
        <f>IFERROR(VLOOKUP(E152,'Data sheet'!$B:$C,2,0),"")</f>
        <v/>
      </c>
    </row>
    <row r="153" spans="3:6" x14ac:dyDescent="0.25">
      <c r="C153" s="12"/>
      <c r="D153" s="12"/>
      <c r="E153" s="12"/>
      <c r="F153" s="12" t="str">
        <f>IFERROR(VLOOKUP(E153,'Data sheet'!$B:$C,2,0),"")</f>
        <v/>
      </c>
    </row>
    <row r="154" spans="3:6" x14ac:dyDescent="0.25">
      <c r="C154" s="12"/>
      <c r="D154" s="12"/>
      <c r="E154" s="12"/>
      <c r="F154" s="12" t="str">
        <f>IFERROR(VLOOKUP(E154,'Data sheet'!$B:$C,2,0),"")</f>
        <v/>
      </c>
    </row>
    <row r="155" spans="3:6" x14ac:dyDescent="0.25">
      <c r="C155" s="12"/>
      <c r="D155" s="12"/>
      <c r="E155" s="12"/>
      <c r="F155" s="12" t="str">
        <f>IFERROR(VLOOKUP(E155,'Data sheet'!$B:$C,2,0),"")</f>
        <v/>
      </c>
    </row>
    <row r="156" spans="3:6" x14ac:dyDescent="0.25">
      <c r="C156" s="12"/>
      <c r="D156" s="12"/>
      <c r="E156" s="12"/>
      <c r="F156" s="12" t="str">
        <f>IFERROR(VLOOKUP(E156,'Data sheet'!$B:$C,2,0),"")</f>
        <v/>
      </c>
    </row>
    <row r="157" spans="3:6" x14ac:dyDescent="0.25">
      <c r="C157" s="12"/>
      <c r="D157" s="12"/>
      <c r="E157" s="12"/>
      <c r="F157" s="12" t="str">
        <f>IFERROR(VLOOKUP(E157,'Data sheet'!$B:$C,2,0),"")</f>
        <v/>
      </c>
    </row>
    <row r="158" spans="3:6" x14ac:dyDescent="0.25">
      <c r="C158" s="12"/>
      <c r="D158" s="12"/>
      <c r="E158" s="12"/>
      <c r="F158" s="12" t="str">
        <f>IFERROR(VLOOKUP(E158,'Data sheet'!$B:$C,2,0),"")</f>
        <v/>
      </c>
    </row>
    <row r="159" spans="3:6" x14ac:dyDescent="0.25">
      <c r="C159" s="12"/>
      <c r="D159" s="12"/>
      <c r="E159" s="12"/>
      <c r="F159" s="12" t="str">
        <f>IFERROR(VLOOKUP(E159,'Data sheet'!$B:$C,2,0),"")</f>
        <v/>
      </c>
    </row>
    <row r="160" spans="3:6" x14ac:dyDescent="0.25">
      <c r="C160" s="12"/>
      <c r="D160" s="12"/>
      <c r="E160" s="12"/>
      <c r="F160" s="12" t="str">
        <f>IFERROR(VLOOKUP(E160,'Data sheet'!$B:$C,2,0),"")</f>
        <v/>
      </c>
    </row>
    <row r="161" spans="3:6" x14ac:dyDescent="0.25">
      <c r="C161" s="12"/>
      <c r="D161" s="12"/>
      <c r="E161" s="12"/>
      <c r="F161" s="12" t="str">
        <f>IFERROR(VLOOKUP(E161,'Data sheet'!$B:$C,2,0),"")</f>
        <v/>
      </c>
    </row>
    <row r="162" spans="3:6" x14ac:dyDescent="0.25">
      <c r="C162" s="12"/>
      <c r="D162" s="12"/>
      <c r="E162" s="12"/>
      <c r="F162" s="12" t="str">
        <f>IFERROR(VLOOKUP(E162,'Data sheet'!$B:$C,2,0),"")</f>
        <v/>
      </c>
    </row>
    <row r="163" spans="3:6" x14ac:dyDescent="0.25">
      <c r="C163" s="12"/>
      <c r="D163" s="12"/>
      <c r="E163" s="12"/>
      <c r="F163" s="12" t="str">
        <f>IFERROR(VLOOKUP(E163,'Data sheet'!$B:$C,2,0),"")</f>
        <v/>
      </c>
    </row>
    <row r="164" spans="3:6" x14ac:dyDescent="0.25">
      <c r="C164" s="12"/>
      <c r="D164" s="12"/>
      <c r="E164" s="12"/>
      <c r="F164" s="12" t="str">
        <f>IFERROR(VLOOKUP(E164,'Data sheet'!$B:$C,2,0),"")</f>
        <v/>
      </c>
    </row>
    <row r="165" spans="3:6" x14ac:dyDescent="0.25">
      <c r="C165" s="12"/>
      <c r="D165" s="12"/>
      <c r="E165" s="12"/>
      <c r="F165" s="12" t="str">
        <f>IFERROR(VLOOKUP(E165,'Data sheet'!$B:$C,2,0),"")</f>
        <v/>
      </c>
    </row>
    <row r="166" spans="3:6" x14ac:dyDescent="0.25">
      <c r="C166" s="12"/>
      <c r="D166" s="12"/>
      <c r="E166" s="12"/>
      <c r="F166" s="12" t="str">
        <f>IFERROR(VLOOKUP(E166,'Data sheet'!$B:$C,2,0),"")</f>
        <v/>
      </c>
    </row>
    <row r="167" spans="3:6" x14ac:dyDescent="0.25">
      <c r="C167" s="12"/>
      <c r="D167" s="12"/>
      <c r="E167" s="12"/>
      <c r="F167" s="12" t="str">
        <f>IFERROR(VLOOKUP(E167,'Data sheet'!$B:$C,2,0),"")</f>
        <v/>
      </c>
    </row>
    <row r="168" spans="3:6" x14ac:dyDescent="0.25">
      <c r="C168" s="12"/>
      <c r="D168" s="12"/>
      <c r="E168" s="12"/>
      <c r="F168" s="12" t="str">
        <f>IFERROR(VLOOKUP(E168,'Data sheet'!$B:$C,2,0),"")</f>
        <v/>
      </c>
    </row>
    <row r="169" spans="3:6" x14ac:dyDescent="0.25">
      <c r="C169" s="12"/>
      <c r="D169" s="12"/>
      <c r="E169" s="12"/>
      <c r="F169" s="12" t="str">
        <f>IFERROR(VLOOKUP(E169,'Data sheet'!$B:$C,2,0),"")</f>
        <v/>
      </c>
    </row>
    <row r="170" spans="3:6" x14ac:dyDescent="0.25">
      <c r="C170" s="12"/>
      <c r="D170" s="12"/>
      <c r="E170" s="12"/>
      <c r="F170" s="12" t="str">
        <f>IFERROR(VLOOKUP(E170,'Data sheet'!$B:$C,2,0),"")</f>
        <v/>
      </c>
    </row>
    <row r="171" spans="3:6" x14ac:dyDescent="0.25">
      <c r="C171" s="12"/>
      <c r="D171" s="12"/>
      <c r="E171" s="12"/>
      <c r="F171" s="12" t="str">
        <f>IFERROR(VLOOKUP(E171,'Data sheet'!$B:$C,2,0),"")</f>
        <v/>
      </c>
    </row>
    <row r="172" spans="3:6" x14ac:dyDescent="0.25">
      <c r="C172" s="12"/>
      <c r="D172" s="12"/>
      <c r="E172" s="12"/>
      <c r="F172" s="12" t="str">
        <f>IFERROR(VLOOKUP(E172,'Data sheet'!$B:$C,2,0),"")</f>
        <v/>
      </c>
    </row>
    <row r="173" spans="3:6" x14ac:dyDescent="0.25">
      <c r="C173" s="12"/>
      <c r="D173" s="12"/>
      <c r="E173" s="12"/>
      <c r="F173" s="12" t="str">
        <f>IFERROR(VLOOKUP(E173,'Data sheet'!$B:$C,2,0),"")</f>
        <v/>
      </c>
    </row>
    <row r="174" spans="3:6" x14ac:dyDescent="0.25">
      <c r="C174" s="12"/>
      <c r="D174" s="12"/>
      <c r="E174" s="12"/>
      <c r="F174" s="12" t="str">
        <f>IFERROR(VLOOKUP(E174,'Data sheet'!$B:$C,2,0),"")</f>
        <v/>
      </c>
    </row>
    <row r="175" spans="3:6" x14ac:dyDescent="0.25">
      <c r="C175" s="12"/>
      <c r="D175" s="12"/>
      <c r="E175" s="12"/>
      <c r="F175" s="12" t="str">
        <f>IFERROR(VLOOKUP(E175,'Data sheet'!$B:$C,2,0),"")</f>
        <v/>
      </c>
    </row>
    <row r="176" spans="3:6" x14ac:dyDescent="0.25">
      <c r="C176" s="12"/>
      <c r="D176" s="12"/>
      <c r="E176" s="12"/>
      <c r="F176" s="12" t="str">
        <f>IFERROR(VLOOKUP(E176,'Data sheet'!$B:$C,2,0),"")</f>
        <v/>
      </c>
    </row>
    <row r="177" spans="3:6" x14ac:dyDescent="0.25">
      <c r="C177" s="12"/>
      <c r="D177" s="12"/>
      <c r="E177" s="12"/>
      <c r="F177" s="12" t="str">
        <f>IFERROR(VLOOKUP(E177,'Data sheet'!$B:$C,2,0),"")</f>
        <v/>
      </c>
    </row>
    <row r="178" spans="3:6" x14ac:dyDescent="0.25">
      <c r="C178" s="12"/>
      <c r="D178" s="12"/>
      <c r="E178" s="12"/>
      <c r="F178" s="12" t="str">
        <f>IFERROR(VLOOKUP(E178,'Data sheet'!$B:$C,2,0),"")</f>
        <v/>
      </c>
    </row>
    <row r="179" spans="3:6" x14ac:dyDescent="0.25">
      <c r="C179" s="12"/>
      <c r="D179" s="12"/>
      <c r="E179" s="12"/>
      <c r="F179" s="12" t="str">
        <f>IFERROR(VLOOKUP(E179,'Data sheet'!$B:$C,2,0),"")</f>
        <v/>
      </c>
    </row>
    <row r="180" spans="3:6" x14ac:dyDescent="0.25">
      <c r="C180" s="12"/>
      <c r="D180" s="12"/>
      <c r="E180" s="12"/>
      <c r="F180" s="12" t="str">
        <f>IFERROR(VLOOKUP(E180,'Data sheet'!$B:$C,2,0),"")</f>
        <v/>
      </c>
    </row>
    <row r="181" spans="3:6" x14ac:dyDescent="0.25">
      <c r="C181" s="12"/>
      <c r="D181" s="12"/>
      <c r="E181" s="12"/>
      <c r="F181" s="12" t="str">
        <f>IFERROR(VLOOKUP(E181,'Data sheet'!$B:$C,2,0),"")</f>
        <v/>
      </c>
    </row>
    <row r="182" spans="3:6" x14ac:dyDescent="0.25">
      <c r="C182" s="12"/>
      <c r="D182" s="12"/>
      <c r="E182" s="12"/>
      <c r="F182" s="12" t="str">
        <f>IFERROR(VLOOKUP(E182,'Data sheet'!$B:$C,2,0),"")</f>
        <v/>
      </c>
    </row>
    <row r="183" spans="3:6" x14ac:dyDescent="0.25">
      <c r="C183" s="12"/>
      <c r="D183" s="12"/>
      <c r="E183" s="12"/>
      <c r="F183" s="12" t="str">
        <f>IFERROR(VLOOKUP(E183,'Data sheet'!$B:$C,2,0),"")</f>
        <v/>
      </c>
    </row>
    <row r="184" spans="3:6" x14ac:dyDescent="0.25">
      <c r="C184" s="12"/>
      <c r="D184" s="12"/>
      <c r="E184" s="12"/>
      <c r="F184" s="12" t="str">
        <f>IFERROR(VLOOKUP(E184,'Data sheet'!$B:$C,2,0),"")</f>
        <v/>
      </c>
    </row>
    <row r="185" spans="3:6" x14ac:dyDescent="0.25">
      <c r="C185" s="12"/>
      <c r="D185" s="12"/>
      <c r="E185" s="12"/>
      <c r="F185" s="12" t="str">
        <f>IFERROR(VLOOKUP(E185,'Data sheet'!$B:$C,2,0),"")</f>
        <v/>
      </c>
    </row>
    <row r="186" spans="3:6" x14ac:dyDescent="0.25">
      <c r="C186" s="12"/>
      <c r="D186" s="12"/>
      <c r="E186" s="12"/>
      <c r="F186" s="12" t="str">
        <f>IFERROR(VLOOKUP(E186,'Data sheet'!$B:$C,2,0),"")</f>
        <v/>
      </c>
    </row>
    <row r="187" spans="3:6" x14ac:dyDescent="0.25">
      <c r="C187" s="12"/>
      <c r="D187" s="12"/>
      <c r="E187" s="12"/>
      <c r="F187" s="12" t="str">
        <f>IFERROR(VLOOKUP(E187,'Data sheet'!$B:$C,2,0),"")</f>
        <v/>
      </c>
    </row>
    <row r="188" spans="3:6" x14ac:dyDescent="0.25">
      <c r="C188" s="12"/>
      <c r="D188" s="12"/>
      <c r="E188" s="12"/>
      <c r="F188" s="12" t="str">
        <f>IFERROR(VLOOKUP(E188,'Data sheet'!$B:$C,2,0),"")</f>
        <v/>
      </c>
    </row>
    <row r="189" spans="3:6" x14ac:dyDescent="0.25">
      <c r="C189" s="12"/>
      <c r="D189" s="12"/>
      <c r="E189" s="12"/>
      <c r="F189" s="12" t="str">
        <f>IFERROR(VLOOKUP(E189,'Data sheet'!$B:$C,2,0),"")</f>
        <v/>
      </c>
    </row>
    <row r="190" spans="3:6" x14ac:dyDescent="0.25">
      <c r="C190" s="12"/>
      <c r="D190" s="12"/>
      <c r="E190" s="12"/>
      <c r="F190" s="12" t="str">
        <f>IFERROR(VLOOKUP(E190,'Data sheet'!$B:$C,2,0),"")</f>
        <v/>
      </c>
    </row>
    <row r="191" spans="3:6" x14ac:dyDescent="0.25">
      <c r="C191" s="12"/>
      <c r="D191" s="12"/>
      <c r="E191" s="12"/>
      <c r="F191" s="12" t="str">
        <f>IFERROR(VLOOKUP(E191,'Data sheet'!$B:$C,2,0),"")</f>
        <v/>
      </c>
    </row>
    <row r="192" spans="3:6" x14ac:dyDescent="0.25">
      <c r="C192" s="12"/>
      <c r="D192" s="12"/>
      <c r="E192" s="12"/>
      <c r="F192" s="12" t="str">
        <f>IFERROR(VLOOKUP(E192,'Data sheet'!$B:$C,2,0),"")</f>
        <v/>
      </c>
    </row>
    <row r="193" spans="3:6" x14ac:dyDescent="0.25">
      <c r="C193" s="12"/>
      <c r="D193" s="12"/>
      <c r="E193" s="12"/>
      <c r="F193" s="12" t="str">
        <f>IFERROR(VLOOKUP(E193,'Data sheet'!$B:$C,2,0),"")</f>
        <v/>
      </c>
    </row>
    <row r="194" spans="3:6" x14ac:dyDescent="0.25">
      <c r="C194" s="12"/>
      <c r="D194" s="12"/>
      <c r="E194" s="12"/>
      <c r="F194" s="12" t="str">
        <f>IFERROR(VLOOKUP(E194,'Data sheet'!$B:$C,2,0),"")</f>
        <v/>
      </c>
    </row>
    <row r="195" spans="3:6" x14ac:dyDescent="0.25">
      <c r="C195" s="12"/>
      <c r="D195" s="12"/>
      <c r="E195" s="12"/>
      <c r="F195" s="12" t="str">
        <f>IFERROR(VLOOKUP(E195,'Data sheet'!$B:$C,2,0),"")</f>
        <v/>
      </c>
    </row>
    <row r="196" spans="3:6" x14ac:dyDescent="0.25">
      <c r="C196" s="12"/>
      <c r="D196" s="12"/>
      <c r="E196" s="12"/>
      <c r="F196" s="12" t="str">
        <f>IFERROR(VLOOKUP(E196,'Data sheet'!$B:$C,2,0),"")</f>
        <v/>
      </c>
    </row>
    <row r="197" spans="3:6" x14ac:dyDescent="0.25">
      <c r="C197" s="12"/>
      <c r="D197" s="12"/>
      <c r="E197" s="12"/>
      <c r="F197" s="12" t="str">
        <f>IFERROR(VLOOKUP(E197,'Data sheet'!$B:$C,2,0),"")</f>
        <v/>
      </c>
    </row>
    <row r="198" spans="3:6" x14ac:dyDescent="0.25">
      <c r="C198" s="12"/>
      <c r="D198" s="12"/>
      <c r="E198" s="12"/>
      <c r="F198" s="12" t="str">
        <f>IFERROR(VLOOKUP(E198,'Data sheet'!$B:$C,2,0),"")</f>
        <v/>
      </c>
    </row>
    <row r="199" spans="3:6" x14ac:dyDescent="0.25">
      <c r="C199" s="12"/>
      <c r="D199" s="12"/>
      <c r="E199" s="12"/>
      <c r="F199" s="12" t="str">
        <f>IFERROR(VLOOKUP(E199,'Data sheet'!$B:$C,2,0),"")</f>
        <v/>
      </c>
    </row>
    <row r="200" spans="3:6" x14ac:dyDescent="0.25">
      <c r="C200" s="12"/>
      <c r="D200" s="12"/>
      <c r="E200" s="12"/>
      <c r="F200" s="12" t="str">
        <f>IFERROR(VLOOKUP(E200,'Data sheet'!$B:$C,2,0),"")</f>
        <v/>
      </c>
    </row>
    <row r="201" spans="3:6" x14ac:dyDescent="0.25">
      <c r="C201" s="12"/>
      <c r="D201" s="12"/>
      <c r="E201" s="12"/>
      <c r="F201" s="12" t="str">
        <f>IFERROR(VLOOKUP(E201,'Data sheet'!$B:$C,2,0),"")</f>
        <v/>
      </c>
    </row>
    <row r="202" spans="3:6" x14ac:dyDescent="0.25">
      <c r="C202" s="12"/>
      <c r="D202" s="12"/>
      <c r="E202" s="12"/>
      <c r="F202" s="12" t="str">
        <f>IFERROR(VLOOKUP(E202,'Data sheet'!$B:$C,2,0),"")</f>
        <v/>
      </c>
    </row>
    <row r="203" spans="3:6" x14ac:dyDescent="0.25">
      <c r="C203" s="12"/>
      <c r="D203" s="12"/>
      <c r="E203" s="12"/>
      <c r="F203" s="12" t="str">
        <f>IFERROR(VLOOKUP(E203,'Data sheet'!$B:$C,2,0),"")</f>
        <v/>
      </c>
    </row>
    <row r="204" spans="3:6" x14ac:dyDescent="0.25">
      <c r="C204" s="12"/>
      <c r="D204" s="12"/>
      <c r="E204" s="12"/>
      <c r="F204" s="12" t="str">
        <f>IFERROR(VLOOKUP(E204,'Data sheet'!$B:$C,2,0),"")</f>
        <v/>
      </c>
    </row>
    <row r="205" spans="3:6" x14ac:dyDescent="0.25">
      <c r="C205" s="12"/>
      <c r="D205" s="12"/>
      <c r="E205" s="12"/>
      <c r="F205" s="12" t="str">
        <f>IFERROR(VLOOKUP(E205,'Data sheet'!$B:$C,2,0),"")</f>
        <v/>
      </c>
    </row>
    <row r="206" spans="3:6" x14ac:dyDescent="0.25">
      <c r="C206" s="12"/>
      <c r="D206" s="12"/>
      <c r="E206" s="12"/>
      <c r="F206" s="12" t="str">
        <f>IFERROR(VLOOKUP(E206,'Data sheet'!$B:$C,2,0),"")</f>
        <v/>
      </c>
    </row>
    <row r="207" spans="3:6" x14ac:dyDescent="0.25">
      <c r="C207" s="12"/>
      <c r="D207" s="12"/>
      <c r="E207" s="12"/>
      <c r="F207" s="12" t="str">
        <f>IFERROR(VLOOKUP(E207,'Data sheet'!$B:$C,2,0),"")</f>
        <v/>
      </c>
    </row>
    <row r="208" spans="3:6" x14ac:dyDescent="0.25">
      <c r="C208" s="12"/>
      <c r="D208" s="12"/>
      <c r="E208" s="12"/>
      <c r="F208" s="12" t="str">
        <f>IFERROR(VLOOKUP(E208,'Data sheet'!$B:$C,2,0),"")</f>
        <v/>
      </c>
    </row>
    <row r="209" spans="3:6" x14ac:dyDescent="0.25">
      <c r="C209" s="12"/>
      <c r="D209" s="12"/>
      <c r="E209" s="12"/>
      <c r="F209" s="12" t="str">
        <f>IFERROR(VLOOKUP(E209,'Data sheet'!$B:$C,2,0),"")</f>
        <v/>
      </c>
    </row>
    <row r="210" spans="3:6" x14ac:dyDescent="0.25">
      <c r="C210" s="12"/>
      <c r="D210" s="12"/>
      <c r="E210" s="12"/>
      <c r="F210" s="12" t="str">
        <f>IFERROR(VLOOKUP(E210,'Data sheet'!$B:$C,2,0),"")</f>
        <v/>
      </c>
    </row>
    <row r="211" spans="3:6" x14ac:dyDescent="0.25">
      <c r="C211" s="12"/>
      <c r="D211" s="12"/>
      <c r="E211" s="12"/>
      <c r="F211" s="12" t="str">
        <f>IFERROR(VLOOKUP(E211,'Data sheet'!$B:$C,2,0),"")</f>
        <v/>
      </c>
    </row>
    <row r="212" spans="3:6" x14ac:dyDescent="0.25">
      <c r="C212" s="12"/>
      <c r="D212" s="12"/>
      <c r="E212" s="12"/>
      <c r="F212" s="12" t="str">
        <f>IFERROR(VLOOKUP(E212,'Data sheet'!$B:$C,2,0),"")</f>
        <v/>
      </c>
    </row>
    <row r="213" spans="3:6" x14ac:dyDescent="0.25">
      <c r="C213" s="12"/>
      <c r="D213" s="12"/>
      <c r="E213" s="12"/>
      <c r="F213" s="12" t="str">
        <f>IFERROR(VLOOKUP(E213,'Data sheet'!$B:$C,2,0),"")</f>
        <v/>
      </c>
    </row>
    <row r="214" spans="3:6" x14ac:dyDescent="0.25">
      <c r="C214" s="12"/>
      <c r="D214" s="12"/>
      <c r="E214" s="12"/>
      <c r="F214" s="12" t="str">
        <f>IFERROR(VLOOKUP(E214,'Data sheet'!$B:$C,2,0),"")</f>
        <v/>
      </c>
    </row>
    <row r="215" spans="3:6" x14ac:dyDescent="0.25">
      <c r="C215" s="12"/>
      <c r="D215" s="12"/>
      <c r="E215" s="12"/>
      <c r="F215" s="12" t="str">
        <f>IFERROR(VLOOKUP(E215,'Data sheet'!$B:$C,2,0),"")</f>
        <v/>
      </c>
    </row>
    <row r="216" spans="3:6" x14ac:dyDescent="0.25">
      <c r="C216" s="12"/>
      <c r="D216" s="12"/>
      <c r="E216" s="12"/>
      <c r="F216" s="12" t="str">
        <f>IFERROR(VLOOKUP(E216,'Data sheet'!$B:$C,2,0),"")</f>
        <v/>
      </c>
    </row>
    <row r="217" spans="3:6" x14ac:dyDescent="0.25">
      <c r="C217" s="12"/>
      <c r="D217" s="12"/>
      <c r="E217" s="12"/>
      <c r="F217" s="12" t="str">
        <f>IFERROR(VLOOKUP(E217,'Data sheet'!$B:$C,2,0),"")</f>
        <v/>
      </c>
    </row>
    <row r="218" spans="3:6" x14ac:dyDescent="0.25">
      <c r="C218" s="12"/>
      <c r="D218" s="12"/>
      <c r="E218" s="12"/>
      <c r="F218" s="12" t="str">
        <f>IFERROR(VLOOKUP(E218,'Data sheet'!$B:$C,2,0),"")</f>
        <v/>
      </c>
    </row>
    <row r="219" spans="3:6" x14ac:dyDescent="0.25">
      <c r="C219" s="12"/>
      <c r="D219" s="12"/>
      <c r="E219" s="12"/>
      <c r="F219" s="12" t="str">
        <f>IFERROR(VLOOKUP(E219,'Data sheet'!$B:$C,2,0),"")</f>
        <v/>
      </c>
    </row>
    <row r="220" spans="3:6" x14ac:dyDescent="0.25">
      <c r="C220" s="12"/>
      <c r="D220" s="12"/>
      <c r="E220" s="12"/>
      <c r="F220" s="12" t="str">
        <f>IFERROR(VLOOKUP(E220,'Data sheet'!$B:$C,2,0),"")</f>
        <v/>
      </c>
    </row>
    <row r="221" spans="3:6" x14ac:dyDescent="0.25">
      <c r="C221" s="12"/>
      <c r="D221" s="12"/>
      <c r="E221" s="12"/>
      <c r="F221" s="12" t="str">
        <f>IFERROR(VLOOKUP(E221,'Data sheet'!$B:$C,2,0),"")</f>
        <v/>
      </c>
    </row>
    <row r="222" spans="3:6" x14ac:dyDescent="0.25">
      <c r="C222" s="12"/>
      <c r="D222" s="12"/>
      <c r="E222" s="12"/>
      <c r="F222" s="12" t="str">
        <f>IFERROR(VLOOKUP(E222,'Data sheet'!$B:$C,2,0),"")</f>
        <v/>
      </c>
    </row>
    <row r="223" spans="3:6" x14ac:dyDescent="0.25">
      <c r="C223" s="12"/>
      <c r="D223" s="12"/>
      <c r="E223" s="12"/>
      <c r="F223" s="12" t="str">
        <f>IFERROR(VLOOKUP(E223,'Data sheet'!$B:$C,2,0),"")</f>
        <v/>
      </c>
    </row>
    <row r="224" spans="3:6" x14ac:dyDescent="0.25">
      <c r="C224" s="12"/>
      <c r="D224" s="12"/>
      <c r="E224" s="12"/>
      <c r="F224" s="12" t="str">
        <f>IFERROR(VLOOKUP(E224,'Data sheet'!$B:$C,2,0),"")</f>
        <v/>
      </c>
    </row>
    <row r="225" spans="3:6" x14ac:dyDescent="0.25">
      <c r="C225" s="12"/>
      <c r="D225" s="12"/>
      <c r="E225" s="12"/>
      <c r="F225" s="12" t="str">
        <f>IFERROR(VLOOKUP(E225,'Data sheet'!$B:$C,2,0),"")</f>
        <v/>
      </c>
    </row>
    <row r="226" spans="3:6" x14ac:dyDescent="0.25">
      <c r="C226" s="12"/>
      <c r="D226" s="12"/>
      <c r="E226" s="12"/>
      <c r="F226" s="12" t="str">
        <f>IFERROR(VLOOKUP(E226,'Data sheet'!$B:$C,2,0),"")</f>
        <v/>
      </c>
    </row>
    <row r="227" spans="3:6" x14ac:dyDescent="0.25">
      <c r="C227" s="12"/>
      <c r="D227" s="12"/>
      <c r="E227" s="12"/>
      <c r="F227" s="12" t="str">
        <f>IFERROR(VLOOKUP(E227,'Data sheet'!$B:$C,2,0),"")</f>
        <v/>
      </c>
    </row>
    <row r="228" spans="3:6" x14ac:dyDescent="0.25">
      <c r="C228" s="12"/>
      <c r="D228" s="12"/>
      <c r="E228" s="12"/>
      <c r="F228" s="12" t="str">
        <f>IFERROR(VLOOKUP(E228,'Data sheet'!$B:$C,2,0),"")</f>
        <v/>
      </c>
    </row>
    <row r="229" spans="3:6" x14ac:dyDescent="0.25">
      <c r="C229" s="12"/>
      <c r="D229" s="12"/>
      <c r="E229" s="12"/>
      <c r="F229" s="12" t="str">
        <f>IFERROR(VLOOKUP(E229,'Data sheet'!$B:$C,2,0),"")</f>
        <v/>
      </c>
    </row>
    <row r="230" spans="3:6" x14ac:dyDescent="0.25">
      <c r="C230" s="12"/>
      <c r="D230" s="12"/>
      <c r="E230" s="12"/>
      <c r="F230" s="12" t="str">
        <f>IFERROR(VLOOKUP(E230,'Data sheet'!$B:$C,2,0),"")</f>
        <v/>
      </c>
    </row>
    <row r="231" spans="3:6" x14ac:dyDescent="0.25">
      <c r="C231" s="12"/>
      <c r="D231" s="12"/>
      <c r="E231" s="12"/>
      <c r="F231" s="12" t="str">
        <f>IFERROR(VLOOKUP(E231,'Data sheet'!$B:$C,2,0),"")</f>
        <v/>
      </c>
    </row>
    <row r="232" spans="3:6" x14ac:dyDescent="0.25">
      <c r="C232" s="12"/>
      <c r="D232" s="12"/>
      <c r="E232" s="12"/>
      <c r="F232" s="12" t="str">
        <f>IFERROR(VLOOKUP(E232,'Data sheet'!$B:$C,2,0),"")</f>
        <v/>
      </c>
    </row>
    <row r="233" spans="3:6" x14ac:dyDescent="0.25">
      <c r="C233" s="12"/>
      <c r="D233" s="12"/>
      <c r="E233" s="12"/>
      <c r="F233" s="12" t="str">
        <f>IFERROR(VLOOKUP(E233,'Data sheet'!$B:$C,2,0),"")</f>
        <v/>
      </c>
    </row>
    <row r="234" spans="3:6" x14ac:dyDescent="0.25">
      <c r="C234" s="12"/>
      <c r="D234" s="12"/>
      <c r="E234" s="12"/>
      <c r="F234" s="12" t="str">
        <f>IFERROR(VLOOKUP(E234,'Data sheet'!$B:$C,2,0),"")</f>
        <v/>
      </c>
    </row>
    <row r="235" spans="3:6" x14ac:dyDescent="0.25">
      <c r="C235" s="12"/>
      <c r="D235" s="12"/>
      <c r="E235" s="12"/>
      <c r="F235" s="12" t="str">
        <f>IFERROR(VLOOKUP(E235,'Data sheet'!$B:$C,2,0),"")</f>
        <v/>
      </c>
    </row>
    <row r="236" spans="3:6" x14ac:dyDescent="0.25">
      <c r="C236" s="12"/>
      <c r="D236" s="12"/>
      <c r="E236" s="12"/>
      <c r="F236" s="12" t="str">
        <f>IFERROR(VLOOKUP(E236,'Data sheet'!$B:$C,2,0),"")</f>
        <v/>
      </c>
    </row>
    <row r="237" spans="3:6" x14ac:dyDescent="0.25">
      <c r="C237" s="12"/>
      <c r="D237" s="12"/>
      <c r="E237" s="12"/>
      <c r="F237" s="12" t="str">
        <f>IFERROR(VLOOKUP(E237,'Data sheet'!$B:$C,2,0),"")</f>
        <v/>
      </c>
    </row>
    <row r="238" spans="3:6" x14ac:dyDescent="0.25">
      <c r="C238" s="12"/>
      <c r="D238" s="12"/>
      <c r="E238" s="12"/>
      <c r="F238" s="12" t="str">
        <f>IFERROR(VLOOKUP(E238,'Data sheet'!$B:$C,2,0),"")</f>
        <v/>
      </c>
    </row>
    <row r="239" spans="3:6" x14ac:dyDescent="0.25">
      <c r="C239" s="12"/>
      <c r="D239" s="12"/>
      <c r="E239" s="12"/>
      <c r="F239" s="12" t="str">
        <f>IFERROR(VLOOKUP(E239,'Data sheet'!$B:$C,2,0),"")</f>
        <v/>
      </c>
    </row>
    <row r="240" spans="3:6" x14ac:dyDescent="0.25">
      <c r="C240" s="12"/>
      <c r="D240" s="12"/>
      <c r="E240" s="12"/>
      <c r="F240" s="12" t="str">
        <f>IFERROR(VLOOKUP(E240,'Data sheet'!$B:$C,2,0),"")</f>
        <v/>
      </c>
    </row>
    <row r="241" spans="3:6" x14ac:dyDescent="0.25">
      <c r="C241" s="12"/>
      <c r="D241" s="12"/>
      <c r="E241" s="12"/>
      <c r="F241" s="12" t="str">
        <f>IFERROR(VLOOKUP(E241,'Data sheet'!$B:$C,2,0),"")</f>
        <v/>
      </c>
    </row>
    <row r="242" spans="3:6" x14ac:dyDescent="0.25">
      <c r="C242" s="12"/>
      <c r="D242" s="12"/>
      <c r="E242" s="12"/>
      <c r="F242" s="12" t="str">
        <f>IFERROR(VLOOKUP(E242,'Data sheet'!$B:$C,2,0),"")</f>
        <v/>
      </c>
    </row>
    <row r="243" spans="3:6" x14ac:dyDescent="0.25">
      <c r="C243" s="12"/>
      <c r="D243" s="12"/>
      <c r="E243" s="12"/>
      <c r="F243" s="12" t="str">
        <f>IFERROR(VLOOKUP(E243,'Data sheet'!$B:$C,2,0),"")</f>
        <v/>
      </c>
    </row>
    <row r="244" spans="3:6" x14ac:dyDescent="0.25">
      <c r="C244" s="12"/>
      <c r="D244" s="12"/>
      <c r="E244" s="12"/>
      <c r="F244" s="12" t="str">
        <f>IFERROR(VLOOKUP(E244,'Data sheet'!$B:$C,2,0),"")</f>
        <v/>
      </c>
    </row>
    <row r="245" spans="3:6" x14ac:dyDescent="0.25">
      <c r="C245" s="12"/>
      <c r="D245" s="12"/>
      <c r="E245" s="12"/>
      <c r="F245" s="12" t="str">
        <f>IFERROR(VLOOKUP(E245,'Data sheet'!$B:$C,2,0),"")</f>
        <v/>
      </c>
    </row>
    <row r="246" spans="3:6" x14ac:dyDescent="0.25">
      <c r="C246" s="12"/>
      <c r="D246" s="12"/>
      <c r="E246" s="12"/>
      <c r="F246" s="12" t="str">
        <f>IFERROR(VLOOKUP(E246,'Data sheet'!$B:$C,2,0),"")</f>
        <v/>
      </c>
    </row>
    <row r="247" spans="3:6" x14ac:dyDescent="0.25">
      <c r="C247" s="12"/>
      <c r="D247" s="12"/>
      <c r="E247" s="12"/>
      <c r="F247" s="12" t="str">
        <f>IFERROR(VLOOKUP(E247,'Data sheet'!$B:$C,2,0),"")</f>
        <v/>
      </c>
    </row>
    <row r="248" spans="3:6" x14ac:dyDescent="0.25">
      <c r="C248" s="12"/>
      <c r="D248" s="12"/>
      <c r="E248" s="12"/>
      <c r="F248" s="12" t="str">
        <f>IFERROR(VLOOKUP(E248,'Data sheet'!$B:$C,2,0),"")</f>
        <v/>
      </c>
    </row>
    <row r="249" spans="3:6" x14ac:dyDescent="0.25">
      <c r="C249" s="12"/>
      <c r="D249" s="12"/>
      <c r="E249" s="12"/>
      <c r="F249" s="12" t="str">
        <f>IFERROR(VLOOKUP(E249,'Data sheet'!$B:$C,2,0),"")</f>
        <v/>
      </c>
    </row>
    <row r="250" spans="3:6" x14ac:dyDescent="0.25">
      <c r="C250" s="12"/>
      <c r="D250" s="12"/>
      <c r="E250" s="12"/>
      <c r="F250" s="12" t="str">
        <f>IFERROR(VLOOKUP(E250,'Data sheet'!$B:$C,2,0),"")</f>
        <v/>
      </c>
    </row>
    <row r="251" spans="3:6" x14ac:dyDescent="0.25">
      <c r="C251" s="12"/>
      <c r="D251" s="12"/>
      <c r="E251" s="12"/>
      <c r="F251" s="12" t="str">
        <f>IFERROR(VLOOKUP(E251,'Data sheet'!$B:$C,2,0),"")</f>
        <v/>
      </c>
    </row>
    <row r="252" spans="3:6" x14ac:dyDescent="0.25">
      <c r="C252" s="12"/>
      <c r="D252" s="12"/>
      <c r="E252" s="12"/>
      <c r="F252" s="12" t="str">
        <f>IFERROR(VLOOKUP(E252,'Data sheet'!$B:$C,2,0),"")</f>
        <v/>
      </c>
    </row>
    <row r="253" spans="3:6" x14ac:dyDescent="0.25">
      <c r="C253" s="12"/>
      <c r="D253" s="12"/>
      <c r="E253" s="12"/>
      <c r="F253" s="12" t="str">
        <f>IFERROR(VLOOKUP(E253,'Data sheet'!$B:$C,2,0),"")</f>
        <v/>
      </c>
    </row>
    <row r="254" spans="3:6" x14ac:dyDescent="0.25">
      <c r="C254" s="12"/>
      <c r="D254" s="12"/>
      <c r="E254" s="12"/>
      <c r="F254" s="12" t="str">
        <f>IFERROR(VLOOKUP(E254,'Data sheet'!$B:$C,2,0),"")</f>
        <v/>
      </c>
    </row>
    <row r="255" spans="3:6" x14ac:dyDescent="0.25">
      <c r="C255" s="12"/>
      <c r="D255" s="12"/>
      <c r="E255" s="12"/>
      <c r="F255" s="12" t="str">
        <f>IFERROR(VLOOKUP(E255,'Data sheet'!$B:$C,2,0),"")</f>
        <v/>
      </c>
    </row>
    <row r="256" spans="3:6" x14ac:dyDescent="0.25">
      <c r="C256" s="12"/>
      <c r="D256" s="12"/>
      <c r="E256" s="12"/>
      <c r="F256" s="12" t="str">
        <f>IFERROR(VLOOKUP(E256,'Data sheet'!$B:$C,2,0),"")</f>
        <v/>
      </c>
    </row>
    <row r="257" spans="3:6" x14ac:dyDescent="0.25">
      <c r="C257" s="12"/>
      <c r="D257" s="12"/>
      <c r="E257" s="12"/>
      <c r="F257" s="12" t="str">
        <f>IFERROR(VLOOKUP(E257,'Data sheet'!$B:$C,2,0),"")</f>
        <v/>
      </c>
    </row>
    <row r="258" spans="3:6" x14ac:dyDescent="0.25">
      <c r="C258" s="12"/>
      <c r="D258" s="12"/>
      <c r="E258" s="12"/>
      <c r="F258" s="12" t="str">
        <f>IFERROR(VLOOKUP(E258,'Data sheet'!$B:$C,2,0),"")</f>
        <v/>
      </c>
    </row>
    <row r="259" spans="3:6" x14ac:dyDescent="0.25">
      <c r="C259" s="12"/>
      <c r="D259" s="12"/>
      <c r="E259" s="12"/>
      <c r="F259" s="12" t="str">
        <f>IFERROR(VLOOKUP(E259,'Data sheet'!$B:$C,2,0),"")</f>
        <v/>
      </c>
    </row>
    <row r="260" spans="3:6" x14ac:dyDescent="0.25">
      <c r="C260" s="12"/>
      <c r="D260" s="12"/>
      <c r="E260" s="12"/>
      <c r="F260" s="12" t="str">
        <f>IFERROR(VLOOKUP(E260,'Data sheet'!$B:$C,2,0),"")</f>
        <v/>
      </c>
    </row>
    <row r="261" spans="3:6" x14ac:dyDescent="0.25">
      <c r="C261" s="12"/>
      <c r="D261" s="12"/>
      <c r="E261" s="12"/>
      <c r="F261" s="12" t="str">
        <f>IFERROR(VLOOKUP(E261,'Data sheet'!$B:$C,2,0),"")</f>
        <v/>
      </c>
    </row>
    <row r="262" spans="3:6" x14ac:dyDescent="0.25">
      <c r="C262" s="12"/>
      <c r="D262" s="12"/>
      <c r="E262" s="12"/>
      <c r="F262" s="12" t="str">
        <f>IFERROR(VLOOKUP(E262,'Data sheet'!$B:$C,2,0),"")</f>
        <v/>
      </c>
    </row>
    <row r="263" spans="3:6" x14ac:dyDescent="0.25">
      <c r="C263" s="12"/>
      <c r="D263" s="12"/>
      <c r="E263" s="12"/>
      <c r="F263" s="12" t="str">
        <f>IFERROR(VLOOKUP(E263,'Data sheet'!$B:$C,2,0),"")</f>
        <v/>
      </c>
    </row>
    <row r="264" spans="3:6" x14ac:dyDescent="0.25">
      <c r="C264" s="12"/>
      <c r="D264" s="12"/>
      <c r="E264" s="12"/>
      <c r="F264" s="12" t="str">
        <f>IFERROR(VLOOKUP(E264,'Data sheet'!$B:$C,2,0),"")</f>
        <v/>
      </c>
    </row>
    <row r="265" spans="3:6" x14ac:dyDescent="0.25">
      <c r="C265" s="12"/>
      <c r="D265" s="12"/>
      <c r="E265" s="12"/>
      <c r="F265" s="12" t="str">
        <f>IFERROR(VLOOKUP(E265,'Data sheet'!$B:$C,2,0),"")</f>
        <v/>
      </c>
    </row>
    <row r="266" spans="3:6" x14ac:dyDescent="0.25">
      <c r="C266" s="12"/>
      <c r="D266" s="12"/>
      <c r="E266" s="12"/>
      <c r="F266" s="12" t="str">
        <f>IFERROR(VLOOKUP(E266,'Data sheet'!$B:$C,2,0),"")</f>
        <v/>
      </c>
    </row>
    <row r="267" spans="3:6" x14ac:dyDescent="0.25">
      <c r="C267" s="12"/>
      <c r="D267" s="12"/>
      <c r="E267" s="12"/>
      <c r="F267" s="12" t="str">
        <f>IFERROR(VLOOKUP(E267,'Data sheet'!$B:$C,2,0),"")</f>
        <v/>
      </c>
    </row>
    <row r="268" spans="3:6" x14ac:dyDescent="0.25">
      <c r="C268" s="12"/>
      <c r="D268" s="12"/>
      <c r="E268" s="12"/>
      <c r="F268" s="12" t="str">
        <f>IFERROR(VLOOKUP(E268,'Data sheet'!$B:$C,2,0),"")</f>
        <v/>
      </c>
    </row>
    <row r="269" spans="3:6" x14ac:dyDescent="0.25">
      <c r="C269" s="12"/>
      <c r="D269" s="12"/>
      <c r="E269" s="12"/>
      <c r="F269" s="12" t="str">
        <f>IFERROR(VLOOKUP(E269,'Data sheet'!$B:$C,2,0),"")</f>
        <v/>
      </c>
    </row>
    <row r="270" spans="3:6" x14ac:dyDescent="0.25">
      <c r="C270" s="12"/>
      <c r="D270" s="12"/>
      <c r="E270" s="12"/>
      <c r="F270" s="12" t="str">
        <f>IFERROR(VLOOKUP(E270,'Data sheet'!$B:$C,2,0),"")</f>
        <v/>
      </c>
    </row>
    <row r="271" spans="3:6" x14ac:dyDescent="0.25">
      <c r="C271" s="12"/>
      <c r="D271" s="12"/>
      <c r="E271" s="12"/>
      <c r="F271" s="12" t="str">
        <f>IFERROR(VLOOKUP(E271,'Data sheet'!$B:$C,2,0),"")</f>
        <v/>
      </c>
    </row>
    <row r="272" spans="3:6" x14ac:dyDescent="0.25">
      <c r="C272" s="12"/>
      <c r="D272" s="12"/>
      <c r="E272" s="12"/>
      <c r="F272" s="12" t="str">
        <f>IFERROR(VLOOKUP(E272,'Data sheet'!$B:$C,2,0),"")</f>
        <v/>
      </c>
    </row>
    <row r="273" spans="3:6" x14ac:dyDescent="0.25">
      <c r="C273" s="12"/>
      <c r="D273" s="12"/>
      <c r="E273" s="12"/>
      <c r="F273" s="12" t="str">
        <f>IFERROR(VLOOKUP(E273,'Data sheet'!$B:$C,2,0),"")</f>
        <v/>
      </c>
    </row>
    <row r="274" spans="3:6" x14ac:dyDescent="0.25">
      <c r="C274" s="12"/>
      <c r="D274" s="12"/>
      <c r="E274" s="12"/>
      <c r="F274" s="12" t="str">
        <f>IFERROR(VLOOKUP(E274,'Data sheet'!$B:$C,2,0),"")</f>
        <v/>
      </c>
    </row>
    <row r="275" spans="3:6" x14ac:dyDescent="0.25">
      <c r="C275" s="12"/>
      <c r="D275" s="12"/>
      <c r="E275" s="12"/>
      <c r="F275" s="12" t="str">
        <f>IFERROR(VLOOKUP(E275,'Data sheet'!$B:$C,2,0),"")</f>
        <v/>
      </c>
    </row>
    <row r="276" spans="3:6" x14ac:dyDescent="0.25">
      <c r="C276" s="12"/>
      <c r="D276" s="12"/>
      <c r="E276" s="12"/>
      <c r="F276" s="12" t="str">
        <f>IFERROR(VLOOKUP(E276,'Data sheet'!$B:$C,2,0),"")</f>
        <v/>
      </c>
    </row>
    <row r="277" spans="3:6" x14ac:dyDescent="0.25">
      <c r="C277" s="12"/>
      <c r="D277" s="12"/>
      <c r="E277" s="12"/>
      <c r="F277" s="12" t="str">
        <f>IFERROR(VLOOKUP(E277,'Data sheet'!$B:$C,2,0),"")</f>
        <v/>
      </c>
    </row>
    <row r="278" spans="3:6" x14ac:dyDescent="0.25">
      <c r="C278" s="12"/>
      <c r="D278" s="12"/>
      <c r="E278" s="12"/>
      <c r="F278" s="12" t="str">
        <f>IFERROR(VLOOKUP(E278,'Data sheet'!$B:$C,2,0),"")</f>
        <v/>
      </c>
    </row>
    <row r="279" spans="3:6" x14ac:dyDescent="0.25">
      <c r="C279" s="12"/>
      <c r="D279" s="12"/>
      <c r="E279" s="12"/>
      <c r="F279" s="12" t="str">
        <f>IFERROR(VLOOKUP(E279,'Data sheet'!$B:$C,2,0),"")</f>
        <v/>
      </c>
    </row>
    <row r="280" spans="3:6" x14ac:dyDescent="0.25">
      <c r="C280" s="12"/>
      <c r="D280" s="12"/>
      <c r="E280" s="12"/>
      <c r="F280" s="12" t="str">
        <f>IFERROR(VLOOKUP(E280,'Data sheet'!$B:$C,2,0),"")</f>
        <v/>
      </c>
    </row>
    <row r="281" spans="3:6" x14ac:dyDescent="0.25">
      <c r="C281" s="12"/>
      <c r="D281" s="12"/>
      <c r="E281" s="12"/>
      <c r="F281" s="12" t="str">
        <f>IFERROR(VLOOKUP(E281,'Data sheet'!$B:$C,2,0),"")</f>
        <v/>
      </c>
    </row>
    <row r="282" spans="3:6" x14ac:dyDescent="0.25">
      <c r="C282" s="12"/>
      <c r="D282" s="12"/>
      <c r="E282" s="12"/>
      <c r="F282" s="12" t="str">
        <f>IFERROR(VLOOKUP(E282,'Data sheet'!$B:$C,2,0),"")</f>
        <v/>
      </c>
    </row>
    <row r="283" spans="3:6" x14ac:dyDescent="0.25">
      <c r="C283" s="12"/>
      <c r="D283" s="12"/>
      <c r="E283" s="12"/>
      <c r="F283" s="12" t="str">
        <f>IFERROR(VLOOKUP(E283,'Data sheet'!$B:$C,2,0),"")</f>
        <v/>
      </c>
    </row>
    <row r="284" spans="3:6" x14ac:dyDescent="0.25">
      <c r="C284" s="12"/>
      <c r="D284" s="12"/>
      <c r="E284" s="12"/>
      <c r="F284" s="12" t="str">
        <f>IFERROR(VLOOKUP(E284,'Data sheet'!$B:$C,2,0),"")</f>
        <v/>
      </c>
    </row>
    <row r="285" spans="3:6" x14ac:dyDescent="0.25">
      <c r="C285" s="12"/>
      <c r="D285" s="12"/>
      <c r="E285" s="12"/>
      <c r="F285" s="12" t="str">
        <f>IFERROR(VLOOKUP(E285,'Data sheet'!$B:$C,2,0),"")</f>
        <v/>
      </c>
    </row>
    <row r="286" spans="3:6" x14ac:dyDescent="0.25">
      <c r="C286" s="12"/>
      <c r="D286" s="12"/>
      <c r="E286" s="12"/>
      <c r="F286" s="12" t="str">
        <f>IFERROR(VLOOKUP(E286,'Data sheet'!$B:$C,2,0),"")</f>
        <v/>
      </c>
    </row>
    <row r="287" spans="3:6" x14ac:dyDescent="0.25">
      <c r="C287" s="12"/>
      <c r="D287" s="12"/>
      <c r="E287" s="12"/>
      <c r="F287" s="12" t="str">
        <f>IFERROR(VLOOKUP(E287,'Data sheet'!$B:$C,2,0),"")</f>
        <v/>
      </c>
    </row>
    <row r="288" spans="3:6" x14ac:dyDescent="0.25">
      <c r="C288" s="12"/>
      <c r="D288" s="12"/>
      <c r="E288" s="12"/>
      <c r="F288" s="12" t="str">
        <f>IFERROR(VLOOKUP(E288,'Data sheet'!$B:$C,2,0),"")</f>
        <v/>
      </c>
    </row>
    <row r="289" spans="3:6" x14ac:dyDescent="0.25">
      <c r="C289" s="12"/>
      <c r="D289" s="12"/>
      <c r="E289" s="12"/>
      <c r="F289" s="12" t="str">
        <f>IFERROR(VLOOKUP(E289,'Data sheet'!$B:$C,2,0),"")</f>
        <v/>
      </c>
    </row>
    <row r="290" spans="3:6" x14ac:dyDescent="0.25">
      <c r="C290" s="12"/>
      <c r="D290" s="12"/>
      <c r="E290" s="12"/>
      <c r="F290" s="12" t="str">
        <f>IFERROR(VLOOKUP(E290,'Data sheet'!$B:$C,2,0),"")</f>
        <v/>
      </c>
    </row>
    <row r="291" spans="3:6" x14ac:dyDescent="0.25">
      <c r="C291" s="12"/>
      <c r="D291" s="12"/>
      <c r="E291" s="12"/>
      <c r="F291" s="12" t="str">
        <f>IFERROR(VLOOKUP(E291,'Data sheet'!$B:$C,2,0),"")</f>
        <v/>
      </c>
    </row>
    <row r="292" spans="3:6" x14ac:dyDescent="0.25">
      <c r="C292" s="12"/>
      <c r="D292" s="12"/>
      <c r="E292" s="12"/>
      <c r="F292" s="12" t="str">
        <f>IFERROR(VLOOKUP(E292,'Data sheet'!$B:$C,2,0),"")</f>
        <v/>
      </c>
    </row>
    <row r="293" spans="3:6" x14ac:dyDescent="0.25">
      <c r="C293" s="12"/>
      <c r="D293" s="12"/>
      <c r="E293" s="12"/>
      <c r="F293" s="12" t="str">
        <f>IFERROR(VLOOKUP(E293,'Data sheet'!$B:$C,2,0),"")</f>
        <v/>
      </c>
    </row>
    <row r="294" spans="3:6" x14ac:dyDescent="0.25">
      <c r="C294" s="12"/>
      <c r="D294" s="12"/>
      <c r="E294" s="12"/>
      <c r="F294" s="12" t="str">
        <f>IFERROR(VLOOKUP(E294,'Data sheet'!$B:$C,2,0),"")</f>
        <v/>
      </c>
    </row>
    <row r="295" spans="3:6" x14ac:dyDescent="0.25">
      <c r="C295" s="12"/>
      <c r="D295" s="12"/>
      <c r="E295" s="12"/>
      <c r="F295" s="12" t="str">
        <f>IFERROR(VLOOKUP(E295,'Data sheet'!$B:$C,2,0),"")</f>
        <v/>
      </c>
    </row>
    <row r="296" spans="3:6" x14ac:dyDescent="0.25">
      <c r="C296" s="12"/>
      <c r="D296" s="12"/>
      <c r="E296" s="12"/>
      <c r="F296" s="12" t="str">
        <f>IFERROR(VLOOKUP(E296,'Data sheet'!$B:$C,2,0),"")</f>
        <v/>
      </c>
    </row>
    <row r="297" spans="3:6" x14ac:dyDescent="0.25">
      <c r="C297" s="12"/>
      <c r="D297" s="12"/>
      <c r="E297" s="12"/>
      <c r="F297" s="12" t="str">
        <f>IFERROR(VLOOKUP(E297,'Data sheet'!$B:$C,2,0),"")</f>
        <v/>
      </c>
    </row>
    <row r="298" spans="3:6" x14ac:dyDescent="0.25">
      <c r="C298" s="12"/>
      <c r="D298" s="12"/>
      <c r="E298" s="12"/>
      <c r="F298" s="12" t="str">
        <f>IFERROR(VLOOKUP(E298,'Data sheet'!$B:$C,2,0),"")</f>
        <v/>
      </c>
    </row>
    <row r="299" spans="3:6" x14ac:dyDescent="0.25">
      <c r="C299" s="12"/>
      <c r="D299" s="12"/>
      <c r="E299" s="12"/>
      <c r="F299" s="12" t="str">
        <f>IFERROR(VLOOKUP(E299,'Data sheet'!$B:$C,2,0),"")</f>
        <v/>
      </c>
    </row>
    <row r="300" spans="3:6" x14ac:dyDescent="0.25">
      <c r="C300" s="12"/>
      <c r="D300" s="12"/>
      <c r="E300" s="12"/>
      <c r="F300" s="12" t="str">
        <f>IFERROR(VLOOKUP(E300,'Data sheet'!$B:$C,2,0),"")</f>
        <v/>
      </c>
    </row>
    <row r="301" spans="3:6" x14ac:dyDescent="0.25">
      <c r="C301" s="12"/>
      <c r="D301" s="12"/>
      <c r="E301" s="12"/>
      <c r="F301" s="12" t="str">
        <f>IFERROR(VLOOKUP(E301,'Data sheet'!$B:$C,2,0),"")</f>
        <v/>
      </c>
    </row>
    <row r="302" spans="3:6" x14ac:dyDescent="0.25">
      <c r="C302" s="12"/>
      <c r="D302" s="12"/>
      <c r="E302" s="12"/>
      <c r="F302" s="12" t="str">
        <f>IFERROR(VLOOKUP(E302,'Data sheet'!$B:$C,2,0),"")</f>
        <v/>
      </c>
    </row>
    <row r="303" spans="3:6" x14ac:dyDescent="0.25">
      <c r="C303" s="12"/>
      <c r="D303" s="12"/>
      <c r="E303" s="12"/>
      <c r="F303" s="12" t="str">
        <f>IFERROR(VLOOKUP(E303,'Data sheet'!$B:$C,2,0),"")</f>
        <v/>
      </c>
    </row>
    <row r="304" spans="3:6" x14ac:dyDescent="0.25">
      <c r="C304" s="12"/>
      <c r="D304" s="12"/>
      <c r="E304" s="12"/>
      <c r="F304" s="12" t="str">
        <f>IFERROR(VLOOKUP(E304,'Data sheet'!$B:$C,2,0),"")</f>
        <v/>
      </c>
    </row>
    <row r="305" spans="3:6" x14ac:dyDescent="0.25">
      <c r="C305" s="12"/>
      <c r="D305" s="12"/>
      <c r="E305" s="12"/>
      <c r="F305" s="12" t="str">
        <f>IFERROR(VLOOKUP(E305,'Data sheet'!$B:$C,2,0),"")</f>
        <v/>
      </c>
    </row>
    <row r="306" spans="3:6" x14ac:dyDescent="0.25">
      <c r="C306" s="12"/>
      <c r="D306" s="12"/>
      <c r="E306" s="12"/>
      <c r="F306" s="12" t="str">
        <f>IFERROR(VLOOKUP(E306,'Data sheet'!$B:$C,2,0),"")</f>
        <v/>
      </c>
    </row>
    <row r="307" spans="3:6" x14ac:dyDescent="0.25">
      <c r="C307" s="12"/>
      <c r="D307" s="12"/>
      <c r="E307" s="12"/>
      <c r="F307" s="12" t="str">
        <f>IFERROR(VLOOKUP(E307,'Data sheet'!$B:$C,2,0),"")</f>
        <v/>
      </c>
    </row>
    <row r="308" spans="3:6" x14ac:dyDescent="0.25">
      <c r="C308" s="12"/>
      <c r="D308" s="12"/>
      <c r="E308" s="12"/>
      <c r="F308" s="12" t="str">
        <f>IFERROR(VLOOKUP(E308,'Data sheet'!$B:$C,2,0),"")</f>
        <v/>
      </c>
    </row>
    <row r="309" spans="3:6" x14ac:dyDescent="0.25">
      <c r="C309" s="12"/>
      <c r="D309" s="12"/>
      <c r="E309" s="12"/>
      <c r="F309" s="12" t="str">
        <f>IFERROR(VLOOKUP(E309,'Data sheet'!$B:$C,2,0),"")</f>
        <v/>
      </c>
    </row>
    <row r="310" spans="3:6" x14ac:dyDescent="0.25">
      <c r="C310" s="12"/>
      <c r="D310" s="12"/>
      <c r="E310" s="12"/>
      <c r="F310" s="12" t="str">
        <f>IFERROR(VLOOKUP(E310,'Data sheet'!$B:$C,2,0),"")</f>
        <v/>
      </c>
    </row>
    <row r="311" spans="3:6" x14ac:dyDescent="0.25">
      <c r="C311" s="12"/>
      <c r="D311" s="12"/>
      <c r="E311" s="12"/>
      <c r="F311" s="12" t="str">
        <f>IFERROR(VLOOKUP(E311,'Data sheet'!$B:$C,2,0),"")</f>
        <v/>
      </c>
    </row>
    <row r="312" spans="3:6" x14ac:dyDescent="0.25">
      <c r="C312" s="12"/>
      <c r="D312" s="12"/>
      <c r="E312" s="12"/>
      <c r="F312" s="12" t="str">
        <f>IFERROR(VLOOKUP(E312,'Data sheet'!$B:$C,2,0),"")</f>
        <v/>
      </c>
    </row>
    <row r="313" spans="3:6" x14ac:dyDescent="0.25">
      <c r="C313" s="12"/>
      <c r="D313" s="12"/>
      <c r="E313" s="12"/>
      <c r="F313" s="12" t="str">
        <f>IFERROR(VLOOKUP(E313,'Data sheet'!$B:$C,2,0),"")</f>
        <v/>
      </c>
    </row>
    <row r="314" spans="3:6" x14ac:dyDescent="0.25">
      <c r="C314" s="12"/>
      <c r="D314" s="12"/>
      <c r="E314" s="12"/>
      <c r="F314" s="12" t="str">
        <f>IFERROR(VLOOKUP(E314,'Data sheet'!$B:$C,2,0),"")</f>
        <v/>
      </c>
    </row>
    <row r="315" spans="3:6" x14ac:dyDescent="0.25">
      <c r="C315" s="12"/>
      <c r="D315" s="12"/>
      <c r="E315" s="12"/>
      <c r="F315" s="12" t="str">
        <f>IFERROR(VLOOKUP(E315,'Data sheet'!$B:$C,2,0),"")</f>
        <v/>
      </c>
    </row>
    <row r="316" spans="3:6" x14ac:dyDescent="0.25">
      <c r="C316" s="12"/>
      <c r="D316" s="12"/>
      <c r="E316" s="12"/>
      <c r="F316" s="12" t="str">
        <f>IFERROR(VLOOKUP(E316,'Data sheet'!$B:$C,2,0),"")</f>
        <v/>
      </c>
    </row>
    <row r="317" spans="3:6" x14ac:dyDescent="0.25">
      <c r="C317" s="12"/>
      <c r="D317" s="12"/>
      <c r="E317" s="12"/>
      <c r="F317" s="12" t="str">
        <f>IFERROR(VLOOKUP(E317,'Data sheet'!$B:$C,2,0),"")</f>
        <v/>
      </c>
    </row>
    <row r="318" spans="3:6" x14ac:dyDescent="0.25">
      <c r="C318" s="12"/>
      <c r="D318" s="12"/>
      <c r="E318" s="12"/>
      <c r="F318" s="12" t="str">
        <f>IFERROR(VLOOKUP(E318,'Data sheet'!$B:$C,2,0),"")</f>
        <v/>
      </c>
    </row>
    <row r="319" spans="3:6" x14ac:dyDescent="0.25">
      <c r="C319" s="12"/>
      <c r="D319" s="12"/>
      <c r="E319" s="12"/>
      <c r="F319" s="12" t="str">
        <f>IFERROR(VLOOKUP(E319,'Data sheet'!$B:$C,2,0),"")</f>
        <v/>
      </c>
    </row>
    <row r="320" spans="3:6" x14ac:dyDescent="0.25">
      <c r="C320" s="12"/>
      <c r="D320" s="12"/>
      <c r="E320" s="12"/>
      <c r="F320" s="12" t="str">
        <f>IFERROR(VLOOKUP(E320,'Data sheet'!$B:$C,2,0),"")</f>
        <v/>
      </c>
    </row>
    <row r="321" spans="3:6" x14ac:dyDescent="0.25">
      <c r="C321" s="12"/>
      <c r="D321" s="12"/>
      <c r="E321" s="12"/>
      <c r="F321" s="12" t="str">
        <f>IFERROR(VLOOKUP(E321,'Data sheet'!$B:$C,2,0),"")</f>
        <v/>
      </c>
    </row>
    <row r="322" spans="3:6" x14ac:dyDescent="0.25">
      <c r="C322" s="12"/>
      <c r="D322" s="12"/>
      <c r="E322" s="12"/>
      <c r="F322" s="12" t="str">
        <f>IFERROR(VLOOKUP(E322,'Data sheet'!$B:$C,2,0),"")</f>
        <v/>
      </c>
    </row>
    <row r="323" spans="3:6" x14ac:dyDescent="0.25">
      <c r="C323" s="12"/>
      <c r="D323" s="12"/>
      <c r="E323" s="12"/>
      <c r="F323" s="12" t="str">
        <f>IFERROR(VLOOKUP(E323,'Data sheet'!$B:$C,2,0),"")</f>
        <v/>
      </c>
    </row>
    <row r="324" spans="3:6" x14ac:dyDescent="0.25">
      <c r="C324" s="12"/>
      <c r="D324" s="12"/>
      <c r="E324" s="12"/>
      <c r="F324" s="12" t="str">
        <f>IFERROR(VLOOKUP(E324,'Data sheet'!$B:$C,2,0),"")</f>
        <v/>
      </c>
    </row>
    <row r="325" spans="3:6" x14ac:dyDescent="0.25">
      <c r="C325" s="12"/>
      <c r="D325" s="12"/>
      <c r="E325" s="12"/>
      <c r="F325" s="12" t="str">
        <f>IFERROR(VLOOKUP(E325,'Data sheet'!$B:$C,2,0),"")</f>
        <v/>
      </c>
    </row>
    <row r="326" spans="3:6" x14ac:dyDescent="0.25">
      <c r="C326" s="12"/>
      <c r="D326" s="12"/>
      <c r="E326" s="12"/>
      <c r="F326" s="12" t="str">
        <f>IFERROR(VLOOKUP(E326,'Data sheet'!$B:$C,2,0),"")</f>
        <v/>
      </c>
    </row>
    <row r="327" spans="3:6" x14ac:dyDescent="0.25">
      <c r="C327" s="12"/>
      <c r="D327" s="12"/>
      <c r="E327" s="12"/>
      <c r="F327" s="12" t="str">
        <f>IFERROR(VLOOKUP(E327,'Data sheet'!$B:$C,2,0),"")</f>
        <v/>
      </c>
    </row>
    <row r="328" spans="3:6" x14ac:dyDescent="0.25">
      <c r="C328" s="12"/>
      <c r="D328" s="12"/>
      <c r="E328" s="12"/>
      <c r="F328" s="12" t="str">
        <f>IFERROR(VLOOKUP(E328,'Data sheet'!$B:$C,2,0),"")</f>
        <v/>
      </c>
    </row>
    <row r="329" spans="3:6" x14ac:dyDescent="0.25">
      <c r="C329" s="12"/>
      <c r="D329" s="12"/>
      <c r="E329" s="12"/>
      <c r="F329" s="12" t="str">
        <f>IFERROR(VLOOKUP(E329,'Data sheet'!$B:$C,2,0),"")</f>
        <v/>
      </c>
    </row>
    <row r="330" spans="3:6" x14ac:dyDescent="0.25">
      <c r="C330" s="12"/>
      <c r="D330" s="12"/>
      <c r="E330" s="12"/>
      <c r="F330" s="12" t="str">
        <f>IFERROR(VLOOKUP(E330,'Data sheet'!$B:$C,2,0),"")</f>
        <v/>
      </c>
    </row>
    <row r="331" spans="3:6" x14ac:dyDescent="0.25">
      <c r="C331" s="12"/>
      <c r="D331" s="12"/>
      <c r="E331" s="12"/>
      <c r="F331" s="12" t="str">
        <f>IFERROR(VLOOKUP(E331,'Data sheet'!$B:$C,2,0),"")</f>
        <v/>
      </c>
    </row>
    <row r="332" spans="3:6" x14ac:dyDescent="0.25">
      <c r="C332" s="12"/>
      <c r="D332" s="12"/>
      <c r="E332" s="12"/>
      <c r="F332" s="12" t="str">
        <f>IFERROR(VLOOKUP(E332,'Data sheet'!$B:$C,2,0),"")</f>
        <v/>
      </c>
    </row>
    <row r="333" spans="3:6" x14ac:dyDescent="0.25">
      <c r="C333" s="12"/>
      <c r="D333" s="12"/>
      <c r="E333" s="12"/>
      <c r="F333" s="12" t="str">
        <f>IFERROR(VLOOKUP(E333,'Data sheet'!$B:$C,2,0),"")</f>
        <v/>
      </c>
    </row>
    <row r="334" spans="3:6" x14ac:dyDescent="0.25">
      <c r="C334" s="12"/>
      <c r="D334" s="12"/>
      <c r="E334" s="12"/>
      <c r="F334" s="12" t="str">
        <f>IFERROR(VLOOKUP(E334,'Data sheet'!$B:$C,2,0),"")</f>
        <v/>
      </c>
    </row>
    <row r="335" spans="3:6" x14ac:dyDescent="0.25">
      <c r="C335" s="12"/>
      <c r="D335" s="12"/>
      <c r="E335" s="12"/>
      <c r="F335" s="12" t="str">
        <f>IFERROR(VLOOKUP(E335,'Data sheet'!$B:$C,2,0),"")</f>
        <v/>
      </c>
    </row>
    <row r="336" spans="3:6" x14ac:dyDescent="0.25">
      <c r="C336" s="12"/>
      <c r="D336" s="12"/>
      <c r="E336" s="12"/>
      <c r="F336" s="12" t="str">
        <f>IFERROR(VLOOKUP(E336,'Data sheet'!$B:$C,2,0),"")</f>
        <v/>
      </c>
    </row>
    <row r="337" spans="3:6" x14ac:dyDescent="0.25">
      <c r="C337" s="12"/>
      <c r="D337" s="12"/>
      <c r="E337" s="12"/>
      <c r="F337" s="12" t="str">
        <f>IFERROR(VLOOKUP(E337,'Data sheet'!$B:$C,2,0),"")</f>
        <v/>
      </c>
    </row>
    <row r="338" spans="3:6" x14ac:dyDescent="0.25">
      <c r="C338" s="12"/>
      <c r="D338" s="12"/>
      <c r="E338" s="12"/>
      <c r="F338" s="12" t="str">
        <f>IFERROR(VLOOKUP(E338,'Data sheet'!$B:$C,2,0),"")</f>
        <v/>
      </c>
    </row>
    <row r="339" spans="3:6" x14ac:dyDescent="0.25">
      <c r="C339" s="12"/>
      <c r="D339" s="12"/>
      <c r="E339" s="12"/>
      <c r="F339" s="12" t="str">
        <f>IFERROR(VLOOKUP(E339,'Data sheet'!$B:$C,2,0),"")</f>
        <v/>
      </c>
    </row>
    <row r="340" spans="3:6" x14ac:dyDescent="0.25">
      <c r="C340" s="12"/>
      <c r="D340" s="12"/>
      <c r="E340" s="12"/>
      <c r="F340" s="12" t="str">
        <f>IFERROR(VLOOKUP(E340,'Data sheet'!$B:$C,2,0),"")</f>
        <v/>
      </c>
    </row>
    <row r="341" spans="3:6" x14ac:dyDescent="0.25">
      <c r="C341" s="12"/>
      <c r="D341" s="12"/>
      <c r="E341" s="12"/>
      <c r="F341" s="12" t="str">
        <f>IFERROR(VLOOKUP(E341,'Data sheet'!$B:$C,2,0),"")</f>
        <v/>
      </c>
    </row>
    <row r="342" spans="3:6" x14ac:dyDescent="0.25">
      <c r="C342" s="12"/>
      <c r="D342" s="12"/>
      <c r="E342" s="12"/>
      <c r="F342" s="12" t="str">
        <f>IFERROR(VLOOKUP(E342,'Data sheet'!$B:$C,2,0),"")</f>
        <v/>
      </c>
    </row>
    <row r="343" spans="3:6" x14ac:dyDescent="0.25">
      <c r="C343" s="12"/>
      <c r="D343" s="12"/>
      <c r="E343" s="12"/>
      <c r="F343" s="12" t="str">
        <f>IFERROR(VLOOKUP(E343,'Data sheet'!$B:$C,2,0),"")</f>
        <v/>
      </c>
    </row>
    <row r="344" spans="3:6" x14ac:dyDescent="0.25">
      <c r="C344" s="12"/>
      <c r="D344" s="12"/>
      <c r="E344" s="12"/>
      <c r="F344" s="12" t="str">
        <f>IFERROR(VLOOKUP(E344,'Data sheet'!$B:$C,2,0),"")</f>
        <v/>
      </c>
    </row>
    <row r="345" spans="3:6" x14ac:dyDescent="0.25">
      <c r="C345" s="12"/>
      <c r="D345" s="12"/>
      <c r="E345" s="12"/>
      <c r="F345" s="12" t="str">
        <f>IFERROR(VLOOKUP(E345,'Data sheet'!$B:$C,2,0),"")</f>
        <v/>
      </c>
    </row>
    <row r="346" spans="3:6" x14ac:dyDescent="0.25">
      <c r="C346" s="12"/>
      <c r="D346" s="12"/>
      <c r="E346" s="12"/>
      <c r="F346" s="12" t="str">
        <f>IFERROR(VLOOKUP(E346,'Data sheet'!$B:$C,2,0),"")</f>
        <v/>
      </c>
    </row>
    <row r="347" spans="3:6" x14ac:dyDescent="0.25">
      <c r="C347" s="12"/>
      <c r="D347" s="12"/>
      <c r="E347" s="12"/>
      <c r="F347" s="12" t="str">
        <f>IFERROR(VLOOKUP(E347,'Data sheet'!$B:$C,2,0),"")</f>
        <v/>
      </c>
    </row>
    <row r="348" spans="3:6" x14ac:dyDescent="0.25">
      <c r="C348" s="12"/>
      <c r="D348" s="12"/>
      <c r="E348" s="12"/>
      <c r="F348" s="12" t="str">
        <f>IFERROR(VLOOKUP(E348,'Data sheet'!$B:$C,2,0),"")</f>
        <v/>
      </c>
    </row>
    <row r="349" spans="3:6" x14ac:dyDescent="0.25">
      <c r="C349" s="12"/>
      <c r="D349" s="12"/>
      <c r="E349" s="12"/>
      <c r="F349" s="12" t="str">
        <f>IFERROR(VLOOKUP(E349,'Data sheet'!$B:$C,2,0),"")</f>
        <v/>
      </c>
    </row>
    <row r="350" spans="3:6" x14ac:dyDescent="0.25">
      <c r="C350" s="12"/>
      <c r="D350" s="12"/>
      <c r="E350" s="12"/>
      <c r="F350" s="12" t="str">
        <f>IFERROR(VLOOKUP(E350,'Data sheet'!$B:$C,2,0),"")</f>
        <v/>
      </c>
    </row>
    <row r="351" spans="3:6" x14ac:dyDescent="0.25">
      <c r="C351" s="12"/>
      <c r="D351" s="12"/>
      <c r="E351" s="12"/>
      <c r="F351" s="12" t="str">
        <f>IFERROR(VLOOKUP(E351,'Data sheet'!$B:$C,2,0),"")</f>
        <v/>
      </c>
    </row>
    <row r="352" spans="3:6" x14ac:dyDescent="0.25">
      <c r="C352" s="12"/>
      <c r="D352" s="12"/>
      <c r="E352" s="12"/>
      <c r="F352" s="12" t="str">
        <f>IFERROR(VLOOKUP(E352,'Data sheet'!$B:$C,2,0),"")</f>
        <v/>
      </c>
    </row>
    <row r="353" spans="3:6" x14ac:dyDescent="0.25">
      <c r="C353" s="12"/>
      <c r="D353" s="12"/>
      <c r="E353" s="12"/>
      <c r="F353" s="12" t="str">
        <f>IFERROR(VLOOKUP(E353,'Data sheet'!$B:$C,2,0),"")</f>
        <v/>
      </c>
    </row>
    <row r="354" spans="3:6" x14ac:dyDescent="0.25">
      <c r="C354" s="12"/>
      <c r="D354" s="12"/>
      <c r="E354" s="12"/>
      <c r="F354" s="12" t="str">
        <f>IFERROR(VLOOKUP(E354,'Data sheet'!$B:$C,2,0),"")</f>
        <v/>
      </c>
    </row>
    <row r="355" spans="3:6" x14ac:dyDescent="0.25">
      <c r="C355" s="12"/>
      <c r="D355" s="12"/>
      <c r="E355" s="12"/>
      <c r="F355" s="12" t="str">
        <f>IFERROR(VLOOKUP(E355,'Data sheet'!$B:$C,2,0),"")</f>
        <v/>
      </c>
    </row>
    <row r="356" spans="3:6" x14ac:dyDescent="0.25">
      <c r="C356" s="12"/>
      <c r="D356" s="12"/>
      <c r="E356" s="12"/>
      <c r="F356" s="12" t="str">
        <f>IFERROR(VLOOKUP(E356,'Data sheet'!$B:$C,2,0),"")</f>
        <v/>
      </c>
    </row>
    <row r="357" spans="3:6" x14ac:dyDescent="0.25">
      <c r="C357" s="12"/>
      <c r="D357" s="12"/>
      <c r="E357" s="12"/>
      <c r="F357" s="12" t="str">
        <f>IFERROR(VLOOKUP(E357,'Data sheet'!$B:$C,2,0),"")</f>
        <v/>
      </c>
    </row>
    <row r="358" spans="3:6" x14ac:dyDescent="0.25">
      <c r="C358" s="12"/>
      <c r="D358" s="12"/>
      <c r="E358" s="12"/>
      <c r="F358" s="12" t="str">
        <f>IFERROR(VLOOKUP(E358,'Data sheet'!$B:$C,2,0),"")</f>
        <v/>
      </c>
    </row>
    <row r="359" spans="3:6" x14ac:dyDescent="0.25">
      <c r="C359" s="12"/>
      <c r="D359" s="12"/>
      <c r="E359" s="12"/>
      <c r="F359" s="12" t="str">
        <f>IFERROR(VLOOKUP(E359,'Data sheet'!$B:$C,2,0),"")</f>
        <v/>
      </c>
    </row>
    <row r="360" spans="3:6" x14ac:dyDescent="0.25">
      <c r="C360" s="12"/>
      <c r="D360" s="12"/>
      <c r="E360" s="12"/>
      <c r="F360" s="12" t="str">
        <f>IFERROR(VLOOKUP(E360,'Data sheet'!$B:$C,2,0),"")</f>
        <v/>
      </c>
    </row>
    <row r="361" spans="3:6" x14ac:dyDescent="0.25">
      <c r="C361" s="12"/>
      <c r="D361" s="12"/>
      <c r="E361" s="12"/>
      <c r="F361" s="12" t="str">
        <f>IFERROR(VLOOKUP(E361,'Data sheet'!$B:$C,2,0),"")</f>
        <v/>
      </c>
    </row>
    <row r="362" spans="3:6" x14ac:dyDescent="0.25">
      <c r="C362" s="12"/>
      <c r="D362" s="12"/>
      <c r="E362" s="12"/>
      <c r="F362" s="12" t="str">
        <f>IFERROR(VLOOKUP(E362,'Data sheet'!$B:$C,2,0),"")</f>
        <v/>
      </c>
    </row>
    <row r="363" spans="3:6" x14ac:dyDescent="0.25">
      <c r="C363" s="12"/>
      <c r="D363" s="12"/>
      <c r="E363" s="12"/>
      <c r="F363" s="12" t="str">
        <f>IFERROR(VLOOKUP(E363,'Data sheet'!$B:$C,2,0),"")</f>
        <v/>
      </c>
    </row>
    <row r="364" spans="3:6" x14ac:dyDescent="0.25">
      <c r="C364" s="12"/>
      <c r="D364" s="12"/>
      <c r="E364" s="12"/>
      <c r="F364" s="12" t="str">
        <f>IFERROR(VLOOKUP(E364,'Data sheet'!$B:$C,2,0),"")</f>
        <v/>
      </c>
    </row>
    <row r="365" spans="3:6" x14ac:dyDescent="0.25">
      <c r="C365" s="12"/>
      <c r="D365" s="12"/>
      <c r="E365" s="12"/>
      <c r="F365" s="12" t="str">
        <f>IFERROR(VLOOKUP(E365,'Data sheet'!$B:$C,2,0),"")</f>
        <v/>
      </c>
    </row>
    <row r="366" spans="3:6" x14ac:dyDescent="0.25">
      <c r="C366" s="12"/>
      <c r="D366" s="12"/>
      <c r="E366" s="12"/>
      <c r="F366" s="12" t="str">
        <f>IFERROR(VLOOKUP(E366,'Data sheet'!$B:$C,2,0),"")</f>
        <v/>
      </c>
    </row>
    <row r="367" spans="3:6" x14ac:dyDescent="0.25">
      <c r="C367" s="12"/>
      <c r="D367" s="12"/>
      <c r="E367" s="12"/>
      <c r="F367" s="12" t="str">
        <f>IFERROR(VLOOKUP(E367,'Data sheet'!$B:$C,2,0),"")</f>
        <v/>
      </c>
    </row>
    <row r="368" spans="3:6" x14ac:dyDescent="0.25">
      <c r="C368" s="12"/>
      <c r="D368" s="12"/>
      <c r="E368" s="12"/>
      <c r="F368" s="12" t="str">
        <f>IFERROR(VLOOKUP(E368,'Data sheet'!$B:$C,2,0),"")</f>
        <v/>
      </c>
    </row>
    <row r="369" spans="3:6" x14ac:dyDescent="0.25">
      <c r="C369" s="12"/>
      <c r="D369" s="12"/>
      <c r="E369" s="12"/>
      <c r="F369" s="12" t="str">
        <f>IFERROR(VLOOKUP(E369,'Data sheet'!$B:$C,2,0),"")</f>
        <v/>
      </c>
    </row>
    <row r="370" spans="3:6" x14ac:dyDescent="0.25">
      <c r="C370" s="12"/>
      <c r="D370" s="12"/>
      <c r="E370" s="12"/>
      <c r="F370" s="12" t="str">
        <f>IFERROR(VLOOKUP(E370,'Data sheet'!$B:$C,2,0),"")</f>
        <v/>
      </c>
    </row>
    <row r="371" spans="3:6" x14ac:dyDescent="0.25">
      <c r="C371" s="12"/>
      <c r="D371" s="12"/>
      <c r="E371" s="12"/>
      <c r="F371" s="12" t="str">
        <f>IFERROR(VLOOKUP(E371,'Data sheet'!$B:$C,2,0),"")</f>
        <v/>
      </c>
    </row>
    <row r="372" spans="3:6" x14ac:dyDescent="0.25">
      <c r="C372" s="12"/>
      <c r="D372" s="12"/>
      <c r="E372" s="12"/>
      <c r="F372" s="12" t="str">
        <f>IFERROR(VLOOKUP(E372,'Data sheet'!$B:$C,2,0),"")</f>
        <v/>
      </c>
    </row>
    <row r="373" spans="3:6" x14ac:dyDescent="0.25">
      <c r="C373" s="12"/>
      <c r="D373" s="12"/>
      <c r="E373" s="12"/>
      <c r="F373" s="12" t="str">
        <f>IFERROR(VLOOKUP(E373,'Data sheet'!$B:$C,2,0),"")</f>
        <v/>
      </c>
    </row>
    <row r="374" spans="3:6" x14ac:dyDescent="0.25">
      <c r="C374" s="12"/>
      <c r="D374" s="12"/>
      <c r="E374" s="12"/>
      <c r="F374" s="12" t="str">
        <f>IFERROR(VLOOKUP(E374,'Data sheet'!$B:$C,2,0),"")</f>
        <v/>
      </c>
    </row>
    <row r="375" spans="3:6" x14ac:dyDescent="0.25">
      <c r="C375" s="12"/>
      <c r="D375" s="12"/>
      <c r="E375" s="12"/>
      <c r="F375" s="12" t="str">
        <f>IFERROR(VLOOKUP(E375,'Data sheet'!$B:$C,2,0),"")</f>
        <v/>
      </c>
    </row>
    <row r="376" spans="3:6" x14ac:dyDescent="0.25">
      <c r="C376" s="12"/>
      <c r="D376" s="12"/>
      <c r="E376" s="12"/>
      <c r="F376" s="12" t="str">
        <f>IFERROR(VLOOKUP(E376,'Data sheet'!$B:$C,2,0),"")</f>
        <v/>
      </c>
    </row>
    <row r="377" spans="3:6" x14ac:dyDescent="0.25">
      <c r="C377" s="12"/>
      <c r="D377" s="12"/>
      <c r="E377" s="12"/>
      <c r="F377" s="12" t="str">
        <f>IFERROR(VLOOKUP(E377,'Data sheet'!$B:$C,2,0),"")</f>
        <v/>
      </c>
    </row>
    <row r="378" spans="3:6" x14ac:dyDescent="0.25">
      <c r="C378" s="12"/>
      <c r="D378" s="12"/>
      <c r="E378" s="12"/>
      <c r="F378" s="12" t="str">
        <f>IFERROR(VLOOKUP(E378,'Data sheet'!$B:$C,2,0),"")</f>
        <v/>
      </c>
    </row>
    <row r="379" spans="3:6" x14ac:dyDescent="0.25">
      <c r="C379" s="12"/>
      <c r="D379" s="12"/>
      <c r="E379" s="12"/>
      <c r="F379" s="12" t="str">
        <f>IFERROR(VLOOKUP(E379,'Data sheet'!$B:$C,2,0),"")</f>
        <v/>
      </c>
    </row>
    <row r="380" spans="3:6" x14ac:dyDescent="0.25">
      <c r="C380" s="12"/>
      <c r="D380" s="12"/>
      <c r="E380" s="12"/>
      <c r="F380" s="12" t="str">
        <f>IFERROR(VLOOKUP(E380,'Data sheet'!$B:$C,2,0),"")</f>
        <v/>
      </c>
    </row>
    <row r="381" spans="3:6" x14ac:dyDescent="0.25">
      <c r="C381" s="12"/>
      <c r="D381" s="12"/>
      <c r="E381" s="12"/>
      <c r="F381" s="12" t="str">
        <f>IFERROR(VLOOKUP(E381,'Data sheet'!$B:$C,2,0),"")</f>
        <v/>
      </c>
    </row>
    <row r="382" spans="3:6" x14ac:dyDescent="0.25">
      <c r="C382" s="12"/>
      <c r="D382" s="12"/>
      <c r="E382" s="12"/>
      <c r="F382" s="12" t="str">
        <f>IFERROR(VLOOKUP(E382,'Data sheet'!$B:$C,2,0),"")</f>
        <v/>
      </c>
    </row>
    <row r="383" spans="3:6" x14ac:dyDescent="0.25">
      <c r="C383" s="12"/>
      <c r="D383" s="12"/>
      <c r="E383" s="12"/>
      <c r="F383" s="12" t="str">
        <f>IFERROR(VLOOKUP(E383,'Data sheet'!$B:$C,2,0),"")</f>
        <v/>
      </c>
    </row>
    <row r="384" spans="3:6" x14ac:dyDescent="0.25">
      <c r="C384" s="12"/>
      <c r="D384" s="12"/>
      <c r="E384" s="12"/>
      <c r="F384" s="12" t="str">
        <f>IFERROR(VLOOKUP(E384,'Data sheet'!$B:$C,2,0),"")</f>
        <v/>
      </c>
    </row>
    <row r="385" spans="3:6" x14ac:dyDescent="0.25">
      <c r="C385" s="12"/>
      <c r="D385" s="12"/>
      <c r="E385" s="12"/>
      <c r="F385" s="12" t="str">
        <f>IFERROR(VLOOKUP(E385,'Data sheet'!$B:$C,2,0),"")</f>
        <v/>
      </c>
    </row>
    <row r="386" spans="3:6" x14ac:dyDescent="0.25">
      <c r="C386" s="12"/>
      <c r="D386" s="12"/>
      <c r="E386" s="12"/>
      <c r="F386" s="12" t="str">
        <f>IFERROR(VLOOKUP(E386,'Data sheet'!$B:$C,2,0),"")</f>
        <v/>
      </c>
    </row>
    <row r="387" spans="3:6" x14ac:dyDescent="0.25">
      <c r="C387" s="12"/>
      <c r="D387" s="12"/>
      <c r="E387" s="12"/>
      <c r="F387" s="12" t="str">
        <f>IFERROR(VLOOKUP(E387,'Data sheet'!$B:$C,2,0),"")</f>
        <v/>
      </c>
    </row>
    <row r="388" spans="3:6" x14ac:dyDescent="0.25">
      <c r="C388" s="12"/>
      <c r="D388" s="12"/>
      <c r="E388" s="12"/>
      <c r="F388" s="12" t="str">
        <f>IFERROR(VLOOKUP(E388,'Data sheet'!$B:$C,2,0),"")</f>
        <v/>
      </c>
    </row>
    <row r="389" spans="3:6" x14ac:dyDescent="0.25">
      <c r="C389" s="12"/>
      <c r="D389" s="12"/>
      <c r="E389" s="12"/>
      <c r="F389" s="12" t="str">
        <f>IFERROR(VLOOKUP(E389,'Data sheet'!$B:$C,2,0),"")</f>
        <v/>
      </c>
    </row>
    <row r="390" spans="3:6" x14ac:dyDescent="0.25">
      <c r="C390" s="12"/>
      <c r="D390" s="12"/>
      <c r="E390" s="12"/>
      <c r="F390" s="12" t="str">
        <f>IFERROR(VLOOKUP(E390,'Data sheet'!$B:$C,2,0),"")</f>
        <v/>
      </c>
    </row>
    <row r="391" spans="3:6" x14ac:dyDescent="0.25">
      <c r="C391" s="12"/>
      <c r="D391" s="12"/>
      <c r="E391" s="12"/>
      <c r="F391" s="12" t="str">
        <f>IFERROR(VLOOKUP(E391,'Data sheet'!$B:$C,2,0),"")</f>
        <v/>
      </c>
    </row>
    <row r="392" spans="3:6" x14ac:dyDescent="0.25">
      <c r="C392" s="12"/>
      <c r="D392" s="12"/>
      <c r="E392" s="12"/>
      <c r="F392" s="12" t="str">
        <f>IFERROR(VLOOKUP(E392,'Data sheet'!$B:$C,2,0),"")</f>
        <v/>
      </c>
    </row>
    <row r="393" spans="3:6" x14ac:dyDescent="0.25">
      <c r="C393" s="12"/>
      <c r="D393" s="12"/>
      <c r="E393" s="12"/>
      <c r="F393" s="12" t="str">
        <f>IFERROR(VLOOKUP(E393,'Data sheet'!$B:$C,2,0),"")</f>
        <v/>
      </c>
    </row>
    <row r="394" spans="3:6" x14ac:dyDescent="0.25">
      <c r="C394" s="12"/>
      <c r="D394" s="12"/>
      <c r="E394" s="12"/>
      <c r="F394" s="12" t="str">
        <f>IFERROR(VLOOKUP(E394,'Data sheet'!$B:$C,2,0),"")</f>
        <v/>
      </c>
    </row>
    <row r="395" spans="3:6" x14ac:dyDescent="0.25">
      <c r="C395" s="12"/>
      <c r="D395" s="12"/>
      <c r="E395" s="12"/>
      <c r="F395" s="12" t="str">
        <f>IFERROR(VLOOKUP(E395,'Data sheet'!$B:$C,2,0),"")</f>
        <v/>
      </c>
    </row>
    <row r="396" spans="3:6" x14ac:dyDescent="0.25">
      <c r="C396" s="12"/>
      <c r="D396" s="12"/>
      <c r="E396" s="12"/>
      <c r="F396" s="12" t="str">
        <f>IFERROR(VLOOKUP(E396,'Data sheet'!$B:$C,2,0),"")</f>
        <v/>
      </c>
    </row>
    <row r="397" spans="3:6" x14ac:dyDescent="0.25">
      <c r="C397" s="12"/>
      <c r="D397" s="12"/>
      <c r="E397" s="12"/>
      <c r="F397" s="12" t="str">
        <f>IFERROR(VLOOKUP(E397,'Data sheet'!$B:$C,2,0),"")</f>
        <v/>
      </c>
    </row>
    <row r="398" spans="3:6" x14ac:dyDescent="0.25">
      <c r="C398" s="12"/>
      <c r="D398" s="12"/>
      <c r="E398" s="12"/>
      <c r="F398" s="12" t="str">
        <f>IFERROR(VLOOKUP(E398,'Data sheet'!$B:$C,2,0),"")</f>
        <v/>
      </c>
    </row>
    <row r="399" spans="3:6" x14ac:dyDescent="0.25">
      <c r="C399" s="12"/>
      <c r="D399" s="12"/>
      <c r="E399" s="12"/>
      <c r="F399" s="12" t="str">
        <f>IFERROR(VLOOKUP(E399,'Data sheet'!$B:$C,2,0),"")</f>
        <v/>
      </c>
    </row>
    <row r="400" spans="3:6" x14ac:dyDescent="0.25">
      <c r="C400" s="12"/>
      <c r="D400" s="12"/>
      <c r="E400" s="12"/>
      <c r="F400" s="12" t="str">
        <f>IFERROR(VLOOKUP(E400,'Data sheet'!$B:$C,2,0),"")</f>
        <v/>
      </c>
    </row>
    <row r="401" spans="3:6" x14ac:dyDescent="0.25">
      <c r="C401" s="12"/>
      <c r="D401" s="12"/>
      <c r="E401" s="12"/>
      <c r="F401" s="12" t="str">
        <f>IFERROR(VLOOKUP(E401,'Data sheet'!$B:$C,2,0),"")</f>
        <v/>
      </c>
    </row>
    <row r="402" spans="3:6" x14ac:dyDescent="0.25">
      <c r="C402" s="12"/>
      <c r="D402" s="12"/>
      <c r="E402" s="12"/>
      <c r="F402" s="12" t="str">
        <f>IFERROR(VLOOKUP(E402,'Data sheet'!$B:$C,2,0),"")</f>
        <v/>
      </c>
    </row>
    <row r="403" spans="3:6" x14ac:dyDescent="0.25">
      <c r="C403" s="12"/>
      <c r="D403" s="12"/>
      <c r="E403" s="12"/>
      <c r="F403" s="12" t="str">
        <f>IFERROR(VLOOKUP(E403,'Data sheet'!$B:$C,2,0),"")</f>
        <v/>
      </c>
    </row>
    <row r="404" spans="3:6" x14ac:dyDescent="0.25">
      <c r="C404" s="12"/>
      <c r="D404" s="12"/>
      <c r="E404" s="12"/>
      <c r="F404" s="12" t="str">
        <f>IFERROR(VLOOKUP(E404,'Data sheet'!$B:$C,2,0),"")</f>
        <v/>
      </c>
    </row>
    <row r="405" spans="3:6" x14ac:dyDescent="0.25">
      <c r="C405" s="12"/>
      <c r="D405" s="12"/>
      <c r="E405" s="12"/>
      <c r="F405" s="12" t="str">
        <f>IFERROR(VLOOKUP(E405,'Data sheet'!$B:$C,2,0),"")</f>
        <v/>
      </c>
    </row>
    <row r="406" spans="3:6" x14ac:dyDescent="0.25">
      <c r="C406" s="12"/>
      <c r="D406" s="12"/>
      <c r="E406" s="12"/>
      <c r="F406" s="12" t="str">
        <f>IFERROR(VLOOKUP(E406,'Data sheet'!$B:$C,2,0),"")</f>
        <v/>
      </c>
    </row>
    <row r="407" spans="3:6" x14ac:dyDescent="0.25">
      <c r="C407" s="12"/>
      <c r="D407" s="12"/>
      <c r="E407" s="12"/>
      <c r="F407" s="12" t="str">
        <f>IFERROR(VLOOKUP(E407,'Data sheet'!$B:$C,2,0),"")</f>
        <v/>
      </c>
    </row>
    <row r="408" spans="3:6" x14ac:dyDescent="0.25">
      <c r="C408" s="12"/>
      <c r="D408" s="12"/>
      <c r="E408" s="12"/>
      <c r="F408" s="12" t="str">
        <f>IFERROR(VLOOKUP(E408,'Data sheet'!$B:$C,2,0),"")</f>
        <v/>
      </c>
    </row>
    <row r="409" spans="3:6" x14ac:dyDescent="0.25">
      <c r="C409" s="12"/>
      <c r="D409" s="12"/>
      <c r="E409" s="12"/>
      <c r="F409" s="12" t="str">
        <f>IFERROR(VLOOKUP(E409,'Data sheet'!$B:$C,2,0),"")</f>
        <v/>
      </c>
    </row>
    <row r="410" spans="3:6" x14ac:dyDescent="0.25">
      <c r="C410" s="12"/>
      <c r="D410" s="12"/>
      <c r="E410" s="12"/>
      <c r="F410" s="12" t="str">
        <f>IFERROR(VLOOKUP(E410,'Data sheet'!$B:$C,2,0),"")</f>
        <v/>
      </c>
    </row>
    <row r="411" spans="3:6" x14ac:dyDescent="0.25">
      <c r="C411" s="12"/>
      <c r="D411" s="12"/>
      <c r="E411" s="12"/>
      <c r="F411" s="12" t="str">
        <f>IFERROR(VLOOKUP(E411,'Data sheet'!$B:$C,2,0),"")</f>
        <v/>
      </c>
    </row>
    <row r="412" spans="3:6" x14ac:dyDescent="0.25">
      <c r="C412" s="12"/>
      <c r="D412" s="12"/>
      <c r="E412" s="12"/>
      <c r="F412" s="12" t="str">
        <f>IFERROR(VLOOKUP(E412,'Data sheet'!$B:$C,2,0),"")</f>
        <v/>
      </c>
    </row>
    <row r="413" spans="3:6" x14ac:dyDescent="0.25">
      <c r="C413" s="12"/>
      <c r="D413" s="12"/>
      <c r="E413" s="12"/>
      <c r="F413" s="12" t="str">
        <f>IFERROR(VLOOKUP(E413,'Data sheet'!$B:$C,2,0),"")</f>
        <v/>
      </c>
    </row>
    <row r="414" spans="3:6" x14ac:dyDescent="0.25">
      <c r="C414" s="12"/>
      <c r="D414" s="12"/>
      <c r="E414" s="12"/>
      <c r="F414" s="12" t="str">
        <f>IFERROR(VLOOKUP(E414,'Data sheet'!$B:$C,2,0),"")</f>
        <v/>
      </c>
    </row>
    <row r="415" spans="3:6" x14ac:dyDescent="0.25">
      <c r="C415" s="12"/>
      <c r="D415" s="12"/>
      <c r="E415" s="12"/>
      <c r="F415" s="12" t="str">
        <f>IFERROR(VLOOKUP(E415,'Data sheet'!$B:$C,2,0),"")</f>
        <v/>
      </c>
    </row>
    <row r="416" spans="3:6" x14ac:dyDescent="0.25">
      <c r="C416" s="12"/>
      <c r="D416" s="12"/>
      <c r="E416" s="12"/>
      <c r="F416" s="12" t="str">
        <f>IFERROR(VLOOKUP(E416,'Data sheet'!$B:$C,2,0),"")</f>
        <v/>
      </c>
    </row>
    <row r="417" spans="3:6" x14ac:dyDescent="0.25">
      <c r="C417" s="12"/>
      <c r="D417" s="12"/>
      <c r="E417" s="12"/>
      <c r="F417" s="12" t="str">
        <f>IFERROR(VLOOKUP(E417,'Data sheet'!$B:$C,2,0),"")</f>
        <v/>
      </c>
    </row>
    <row r="418" spans="3:6" x14ac:dyDescent="0.25">
      <c r="C418" s="12"/>
      <c r="D418" s="12"/>
      <c r="E418" s="12"/>
      <c r="F418" s="12" t="str">
        <f>IFERROR(VLOOKUP(E418,'Data sheet'!$B:$C,2,0),"")</f>
        <v/>
      </c>
    </row>
    <row r="419" spans="3:6" x14ac:dyDescent="0.25">
      <c r="C419" s="12"/>
      <c r="D419" s="12"/>
      <c r="E419" s="12"/>
      <c r="F419" s="12" t="str">
        <f>IFERROR(VLOOKUP(E419,'Data sheet'!$B:$C,2,0),"")</f>
        <v/>
      </c>
    </row>
    <row r="420" spans="3:6" x14ac:dyDescent="0.25">
      <c r="C420" s="12"/>
      <c r="D420" s="12"/>
      <c r="E420" s="12"/>
      <c r="F420" s="12" t="str">
        <f>IFERROR(VLOOKUP(E420,'Data sheet'!$B:$C,2,0),"")</f>
        <v/>
      </c>
    </row>
    <row r="421" spans="3:6" x14ac:dyDescent="0.25">
      <c r="C421" s="12"/>
      <c r="D421" s="12"/>
      <c r="E421" s="12"/>
      <c r="F421" s="12" t="str">
        <f>IFERROR(VLOOKUP(E421,'Data sheet'!$B:$C,2,0),"")</f>
        <v/>
      </c>
    </row>
    <row r="422" spans="3:6" x14ac:dyDescent="0.25">
      <c r="C422" s="12"/>
      <c r="D422" s="12"/>
      <c r="E422" s="12"/>
      <c r="F422" s="12" t="str">
        <f>IFERROR(VLOOKUP(E422,'Data sheet'!$B:$C,2,0),"")</f>
        <v/>
      </c>
    </row>
    <row r="423" spans="3:6" x14ac:dyDescent="0.25">
      <c r="C423" s="12"/>
      <c r="D423" s="12"/>
      <c r="E423" s="12"/>
      <c r="F423" s="12" t="str">
        <f>IFERROR(VLOOKUP(E423,'Data sheet'!$B:$C,2,0),"")</f>
        <v/>
      </c>
    </row>
    <row r="424" spans="3:6" x14ac:dyDescent="0.25">
      <c r="C424" s="12"/>
      <c r="D424" s="12"/>
      <c r="E424" s="12"/>
      <c r="F424" s="12" t="str">
        <f>IFERROR(VLOOKUP(E424,'Data sheet'!$B:$C,2,0),"")</f>
        <v/>
      </c>
    </row>
    <row r="425" spans="3:6" x14ac:dyDescent="0.25">
      <c r="C425" s="12"/>
      <c r="D425" s="12"/>
      <c r="E425" s="12"/>
      <c r="F425" s="12" t="str">
        <f>IFERROR(VLOOKUP(E425,'Data sheet'!$B:$C,2,0),"")</f>
        <v/>
      </c>
    </row>
    <row r="426" spans="3:6" x14ac:dyDescent="0.25">
      <c r="C426" s="12"/>
      <c r="D426" s="12"/>
      <c r="E426" s="12"/>
      <c r="F426" s="12" t="str">
        <f>IFERROR(VLOOKUP(E426,'Data sheet'!$B:$C,2,0),"")</f>
        <v/>
      </c>
    </row>
    <row r="427" spans="3:6" x14ac:dyDescent="0.25">
      <c r="C427" s="12"/>
      <c r="D427" s="12"/>
      <c r="E427" s="12"/>
      <c r="F427" s="12" t="str">
        <f>IFERROR(VLOOKUP(E427,'Data sheet'!$B:$C,2,0),"")</f>
        <v/>
      </c>
    </row>
    <row r="428" spans="3:6" x14ac:dyDescent="0.25">
      <c r="C428" s="12"/>
      <c r="D428" s="12"/>
      <c r="E428" s="12"/>
      <c r="F428" s="12" t="str">
        <f>IFERROR(VLOOKUP(E428,'Data sheet'!$B:$C,2,0),"")</f>
        <v/>
      </c>
    </row>
    <row r="429" spans="3:6" x14ac:dyDescent="0.25">
      <c r="C429" s="12"/>
      <c r="D429" s="12"/>
      <c r="E429" s="12"/>
      <c r="F429" s="12" t="str">
        <f>IFERROR(VLOOKUP(E429,'Data sheet'!$B:$C,2,0),"")</f>
        <v/>
      </c>
    </row>
    <row r="430" spans="3:6" x14ac:dyDescent="0.25">
      <c r="C430" s="12"/>
      <c r="D430" s="12"/>
      <c r="E430" s="12"/>
      <c r="F430" s="12" t="str">
        <f>IFERROR(VLOOKUP(E430,'Data sheet'!$B:$C,2,0),"")</f>
        <v/>
      </c>
    </row>
    <row r="431" spans="3:6" x14ac:dyDescent="0.25">
      <c r="C431" s="12"/>
      <c r="D431" s="12"/>
      <c r="E431" s="12"/>
      <c r="F431" s="12" t="str">
        <f>IFERROR(VLOOKUP(E431,'Data sheet'!$B:$C,2,0),"")</f>
        <v/>
      </c>
    </row>
    <row r="432" spans="3:6" x14ac:dyDescent="0.25">
      <c r="C432" s="12"/>
      <c r="D432" s="12"/>
      <c r="E432" s="12"/>
      <c r="F432" s="12" t="str">
        <f>IFERROR(VLOOKUP(E432,'Data sheet'!$B:$C,2,0),"")</f>
        <v/>
      </c>
    </row>
    <row r="433" spans="3:6" x14ac:dyDescent="0.25">
      <c r="C433" s="12"/>
      <c r="D433" s="12"/>
      <c r="E433" s="12"/>
      <c r="F433" s="12" t="str">
        <f>IFERROR(VLOOKUP(E433,'Data sheet'!$B:$C,2,0),"")</f>
        <v/>
      </c>
    </row>
    <row r="434" spans="3:6" x14ac:dyDescent="0.25">
      <c r="C434" s="12"/>
      <c r="D434" s="12"/>
      <c r="E434" s="12"/>
      <c r="F434" s="12" t="str">
        <f>IFERROR(VLOOKUP(E434,'Data sheet'!$B:$C,2,0),"")</f>
        <v/>
      </c>
    </row>
    <row r="435" spans="3:6" x14ac:dyDescent="0.25">
      <c r="C435" s="12"/>
      <c r="D435" s="12"/>
      <c r="E435" s="12"/>
      <c r="F435" s="12" t="str">
        <f>IFERROR(VLOOKUP(E435,'Data sheet'!$B:$C,2,0),"")</f>
        <v/>
      </c>
    </row>
    <row r="436" spans="3:6" x14ac:dyDescent="0.25">
      <c r="C436" s="12"/>
      <c r="D436" s="12"/>
      <c r="E436" s="12"/>
      <c r="F436" s="12" t="str">
        <f>IFERROR(VLOOKUP(E436,'Data sheet'!$B:$C,2,0),"")</f>
        <v/>
      </c>
    </row>
    <row r="437" spans="3:6" x14ac:dyDescent="0.25">
      <c r="C437" s="12"/>
      <c r="D437" s="12"/>
      <c r="E437" s="12"/>
      <c r="F437" s="12" t="str">
        <f>IFERROR(VLOOKUP(E437,'Data sheet'!$B:$C,2,0),"")</f>
        <v/>
      </c>
    </row>
    <row r="438" spans="3:6" x14ac:dyDescent="0.25">
      <c r="C438" s="12"/>
      <c r="D438" s="12"/>
      <c r="E438" s="12"/>
      <c r="F438" s="12" t="str">
        <f>IFERROR(VLOOKUP(E438,'Data sheet'!$B:$C,2,0),"")</f>
        <v/>
      </c>
    </row>
    <row r="439" spans="3:6" x14ac:dyDescent="0.25">
      <c r="C439" s="12"/>
      <c r="D439" s="12"/>
      <c r="E439" s="12"/>
      <c r="F439" s="12" t="str">
        <f>IFERROR(VLOOKUP(E439,'Data sheet'!$B:$C,2,0),"")</f>
        <v/>
      </c>
    </row>
    <row r="440" spans="3:6" x14ac:dyDescent="0.25">
      <c r="C440" s="12"/>
      <c r="D440" s="12"/>
      <c r="E440" s="12"/>
      <c r="F440" s="12" t="str">
        <f>IFERROR(VLOOKUP(E440,'Data sheet'!$B:$C,2,0),"")</f>
        <v/>
      </c>
    </row>
    <row r="441" spans="3:6" x14ac:dyDescent="0.25">
      <c r="C441" s="12"/>
      <c r="D441" s="12"/>
      <c r="E441" s="12"/>
      <c r="F441" s="12" t="str">
        <f>IFERROR(VLOOKUP(E441,'Data sheet'!$B:$C,2,0),"")</f>
        <v/>
      </c>
    </row>
    <row r="442" spans="3:6" x14ac:dyDescent="0.25">
      <c r="C442" s="12"/>
      <c r="D442" s="12"/>
      <c r="E442" s="12"/>
      <c r="F442" s="12" t="str">
        <f>IFERROR(VLOOKUP(E442,'Data sheet'!$B:$C,2,0),"")</f>
        <v/>
      </c>
    </row>
    <row r="443" spans="3:6" x14ac:dyDescent="0.25">
      <c r="C443" s="12"/>
      <c r="D443" s="12"/>
      <c r="E443" s="12"/>
      <c r="F443" s="12" t="str">
        <f>IFERROR(VLOOKUP(E443,'Data sheet'!$B:$C,2,0),"")</f>
        <v/>
      </c>
    </row>
    <row r="444" spans="3:6" x14ac:dyDescent="0.25">
      <c r="C444" s="12"/>
      <c r="D444" s="12"/>
      <c r="E444" s="12"/>
      <c r="F444" s="12" t="str">
        <f>IFERROR(VLOOKUP(E444,'Data sheet'!$B:$C,2,0),"")</f>
        <v/>
      </c>
    </row>
    <row r="445" spans="3:6" x14ac:dyDescent="0.25">
      <c r="C445" s="12"/>
      <c r="D445" s="12"/>
      <c r="E445" s="12"/>
      <c r="F445" s="12" t="str">
        <f>IFERROR(VLOOKUP(E445,'Data sheet'!$B:$C,2,0),"")</f>
        <v/>
      </c>
    </row>
    <row r="446" spans="3:6" x14ac:dyDescent="0.25">
      <c r="C446" s="12"/>
      <c r="D446" s="12"/>
      <c r="E446" s="12"/>
      <c r="F446" s="12" t="str">
        <f>IFERROR(VLOOKUP(E446,'Data sheet'!$B:$C,2,0),"")</f>
        <v/>
      </c>
    </row>
    <row r="447" spans="3:6" x14ac:dyDescent="0.25">
      <c r="C447" s="12"/>
      <c r="D447" s="12"/>
      <c r="E447" s="12"/>
      <c r="F447" s="12" t="str">
        <f>IFERROR(VLOOKUP(E447,'Data sheet'!$B:$C,2,0),"")</f>
        <v/>
      </c>
    </row>
    <row r="448" spans="3:6" x14ac:dyDescent="0.25">
      <c r="C448" s="12"/>
      <c r="D448" s="12"/>
      <c r="E448" s="12"/>
      <c r="F448" s="12" t="str">
        <f>IFERROR(VLOOKUP(E448,'Data sheet'!$B:$C,2,0),"")</f>
        <v/>
      </c>
    </row>
    <row r="449" spans="3:6" x14ac:dyDescent="0.25">
      <c r="C449" s="12"/>
      <c r="D449" s="12"/>
      <c r="E449" s="12"/>
      <c r="F449" s="12" t="str">
        <f>IFERROR(VLOOKUP(E449,'Data sheet'!$B:$C,2,0),"")</f>
        <v/>
      </c>
    </row>
    <row r="450" spans="3:6" x14ac:dyDescent="0.25">
      <c r="C450" s="12"/>
      <c r="D450" s="12"/>
      <c r="E450" s="12"/>
      <c r="F450" s="12" t="str">
        <f>IFERROR(VLOOKUP(E450,'Data sheet'!$B:$C,2,0),"")</f>
        <v/>
      </c>
    </row>
    <row r="451" spans="3:6" x14ac:dyDescent="0.25">
      <c r="C451" s="12"/>
      <c r="D451" s="12"/>
      <c r="E451" s="12"/>
      <c r="F451" s="12" t="str">
        <f>IFERROR(VLOOKUP(E451,'Data sheet'!$B:$C,2,0),"")</f>
        <v/>
      </c>
    </row>
    <row r="452" spans="3:6" x14ac:dyDescent="0.25">
      <c r="C452" s="12"/>
      <c r="D452" s="12"/>
      <c r="E452" s="12"/>
      <c r="F452" s="12" t="str">
        <f>IFERROR(VLOOKUP(E452,'Data sheet'!$B:$C,2,0),"")</f>
        <v/>
      </c>
    </row>
    <row r="453" spans="3:6" x14ac:dyDescent="0.25">
      <c r="C453" s="12"/>
      <c r="D453" s="12"/>
      <c r="E453" s="12"/>
      <c r="F453" s="12" t="str">
        <f>IFERROR(VLOOKUP(E453,'Data sheet'!$B:$C,2,0),"")</f>
        <v/>
      </c>
    </row>
    <row r="454" spans="3:6" x14ac:dyDescent="0.25">
      <c r="C454" s="12"/>
      <c r="D454" s="12"/>
      <c r="E454" s="12"/>
      <c r="F454" s="12" t="str">
        <f>IFERROR(VLOOKUP(E454,'Data sheet'!$B:$C,2,0),"")</f>
        <v/>
      </c>
    </row>
    <row r="455" spans="3:6" x14ac:dyDescent="0.25">
      <c r="C455" s="12"/>
      <c r="D455" s="12"/>
      <c r="E455" s="12"/>
      <c r="F455" s="12" t="str">
        <f>IFERROR(VLOOKUP(E455,'Data sheet'!$B:$C,2,0),"")</f>
        <v/>
      </c>
    </row>
    <row r="456" spans="3:6" x14ac:dyDescent="0.25">
      <c r="C456" s="12"/>
      <c r="D456" s="12"/>
      <c r="E456" s="12"/>
      <c r="F456" s="12" t="str">
        <f>IFERROR(VLOOKUP(E456,'Data sheet'!$B:$C,2,0),"")</f>
        <v/>
      </c>
    </row>
    <row r="457" spans="3:6" x14ac:dyDescent="0.25">
      <c r="C457" s="12"/>
      <c r="D457" s="12"/>
      <c r="E457" s="12"/>
      <c r="F457" s="12" t="str">
        <f>IFERROR(VLOOKUP(E457,'Data sheet'!$B:$C,2,0),"")</f>
        <v/>
      </c>
    </row>
    <row r="458" spans="3:6" x14ac:dyDescent="0.25">
      <c r="C458" s="12"/>
      <c r="D458" s="12"/>
      <c r="E458" s="12"/>
      <c r="F458" s="12" t="str">
        <f>IFERROR(VLOOKUP(E458,'Data sheet'!$B:$C,2,0),"")</f>
        <v/>
      </c>
    </row>
    <row r="459" spans="3:6" x14ac:dyDescent="0.25">
      <c r="C459" s="12"/>
      <c r="D459" s="12"/>
      <c r="E459" s="12"/>
      <c r="F459" s="12" t="str">
        <f>IFERROR(VLOOKUP(E459,'Data sheet'!$B:$C,2,0),"")</f>
        <v/>
      </c>
    </row>
    <row r="460" spans="3:6" x14ac:dyDescent="0.25">
      <c r="C460" s="12"/>
      <c r="D460" s="12"/>
      <c r="E460" s="12"/>
      <c r="F460" s="12" t="str">
        <f>IFERROR(VLOOKUP(E460,'Data sheet'!$B:$C,2,0),"")</f>
        <v/>
      </c>
    </row>
    <row r="461" spans="3:6" x14ac:dyDescent="0.25">
      <c r="C461" s="12"/>
      <c r="D461" s="12"/>
      <c r="E461" s="12"/>
      <c r="F461" s="12" t="str">
        <f>IFERROR(VLOOKUP(E461,'Data sheet'!$B:$C,2,0),"")</f>
        <v/>
      </c>
    </row>
    <row r="462" spans="3:6" x14ac:dyDescent="0.25">
      <c r="C462" s="12"/>
      <c r="D462" s="12"/>
      <c r="E462" s="12"/>
      <c r="F462" s="12" t="str">
        <f>IFERROR(VLOOKUP(E462,'Data sheet'!$B:$C,2,0),"")</f>
        <v/>
      </c>
    </row>
    <row r="463" spans="3:6" x14ac:dyDescent="0.25">
      <c r="C463" s="12"/>
      <c r="D463" s="12"/>
      <c r="E463" s="12"/>
      <c r="F463" s="12" t="str">
        <f>IFERROR(VLOOKUP(E463,'Data sheet'!$B:$C,2,0),"")</f>
        <v/>
      </c>
    </row>
    <row r="464" spans="3:6" x14ac:dyDescent="0.25">
      <c r="C464" s="12"/>
      <c r="D464" s="12"/>
      <c r="E464" s="12"/>
      <c r="F464" s="12" t="str">
        <f>IFERROR(VLOOKUP(E464,'Data sheet'!$B:$C,2,0),"")</f>
        <v/>
      </c>
    </row>
    <row r="465" spans="3:6" x14ac:dyDescent="0.25">
      <c r="C465" s="12"/>
      <c r="D465" s="12"/>
      <c r="E465" s="12"/>
      <c r="F465" s="12" t="str">
        <f>IFERROR(VLOOKUP(E465,'Data sheet'!$B:$C,2,0),"")</f>
        <v/>
      </c>
    </row>
    <row r="466" spans="3:6" x14ac:dyDescent="0.25">
      <c r="C466" s="12"/>
      <c r="D466" s="12"/>
      <c r="E466" s="12"/>
      <c r="F466" s="12" t="str">
        <f>IFERROR(VLOOKUP(E466,'Data sheet'!$B:$C,2,0),"")</f>
        <v/>
      </c>
    </row>
    <row r="467" spans="3:6" x14ac:dyDescent="0.25">
      <c r="C467" s="12"/>
      <c r="D467" s="12"/>
      <c r="E467" s="12"/>
      <c r="F467" s="12" t="str">
        <f>IFERROR(VLOOKUP(E467,'Data sheet'!$B:$C,2,0),"")</f>
        <v/>
      </c>
    </row>
    <row r="468" spans="3:6" x14ac:dyDescent="0.25">
      <c r="C468" s="12"/>
      <c r="D468" s="12"/>
      <c r="E468" s="12"/>
      <c r="F468" s="12" t="str">
        <f>IFERROR(VLOOKUP(E468,'Data sheet'!$B:$C,2,0),"")</f>
        <v/>
      </c>
    </row>
    <row r="469" spans="3:6" x14ac:dyDescent="0.25">
      <c r="C469" s="12"/>
      <c r="D469" s="12"/>
      <c r="E469" s="12"/>
      <c r="F469" s="12" t="str">
        <f>IFERROR(VLOOKUP(E469,'Data sheet'!$B:$C,2,0),"")</f>
        <v/>
      </c>
    </row>
    <row r="470" spans="3:6" x14ac:dyDescent="0.25">
      <c r="C470" s="12"/>
      <c r="D470" s="12"/>
      <c r="E470" s="12"/>
      <c r="F470" s="12" t="str">
        <f>IFERROR(VLOOKUP(E470,'Data sheet'!$B:$C,2,0),"")</f>
        <v/>
      </c>
    </row>
    <row r="471" spans="3:6" x14ac:dyDescent="0.25">
      <c r="C471" s="12"/>
      <c r="D471" s="12"/>
      <c r="E471" s="12"/>
      <c r="F471" s="12" t="str">
        <f>IFERROR(VLOOKUP(E471,'Data sheet'!$B:$C,2,0),"")</f>
        <v/>
      </c>
    </row>
    <row r="472" spans="3:6" x14ac:dyDescent="0.25">
      <c r="C472" s="12"/>
      <c r="D472" s="12"/>
      <c r="E472" s="12"/>
      <c r="F472" s="12" t="str">
        <f>IFERROR(VLOOKUP(E472,'Data sheet'!$B:$C,2,0),"")</f>
        <v/>
      </c>
    </row>
    <row r="473" spans="3:6" x14ac:dyDescent="0.25">
      <c r="C473" s="12"/>
      <c r="D473" s="12"/>
      <c r="E473" s="12"/>
      <c r="F473" s="12" t="str">
        <f>IFERROR(VLOOKUP(E473,'Data sheet'!$B:$C,2,0),"")</f>
        <v/>
      </c>
    </row>
    <row r="474" spans="3:6" x14ac:dyDescent="0.25">
      <c r="C474" s="12"/>
      <c r="D474" s="12"/>
      <c r="E474" s="12"/>
      <c r="F474" s="12" t="str">
        <f>IFERROR(VLOOKUP(E474,'Data sheet'!$B:$C,2,0),"")</f>
        <v/>
      </c>
    </row>
    <row r="475" spans="3:6" x14ac:dyDescent="0.25">
      <c r="C475" s="12"/>
      <c r="D475" s="12"/>
      <c r="E475" s="12"/>
      <c r="F475" s="12" t="str">
        <f>IFERROR(VLOOKUP(E475,'Data sheet'!$B:$C,2,0),"")</f>
        <v/>
      </c>
    </row>
    <row r="476" spans="3:6" x14ac:dyDescent="0.25">
      <c r="C476" s="12"/>
      <c r="D476" s="12"/>
      <c r="E476" s="12"/>
      <c r="F476" s="12" t="str">
        <f>IFERROR(VLOOKUP(E476,'Data sheet'!$B:$C,2,0),"")</f>
        <v/>
      </c>
    </row>
    <row r="477" spans="3:6" x14ac:dyDescent="0.25">
      <c r="C477" s="12"/>
      <c r="D477" s="12"/>
      <c r="E477" s="12"/>
      <c r="F477" s="12" t="str">
        <f>IFERROR(VLOOKUP(E477,'Data sheet'!$B:$C,2,0),"")</f>
        <v/>
      </c>
    </row>
    <row r="478" spans="3:6" x14ac:dyDescent="0.25">
      <c r="C478" s="12"/>
      <c r="D478" s="12"/>
      <c r="E478" s="12"/>
      <c r="F478" s="12" t="str">
        <f>IFERROR(VLOOKUP(E478,'Data sheet'!$B:$C,2,0),"")</f>
        <v/>
      </c>
    </row>
    <row r="479" spans="3:6" x14ac:dyDescent="0.25">
      <c r="C479" s="12"/>
      <c r="D479" s="12"/>
      <c r="E479" s="12"/>
      <c r="F479" s="12" t="str">
        <f>IFERROR(VLOOKUP(E479,'Data sheet'!$B:$C,2,0),"")</f>
        <v/>
      </c>
    </row>
    <row r="480" spans="3:6" x14ac:dyDescent="0.25">
      <c r="C480" s="12"/>
      <c r="D480" s="12"/>
      <c r="E480" s="12"/>
      <c r="F480" s="12" t="str">
        <f>IFERROR(VLOOKUP(E480,'Data sheet'!$B:$C,2,0),"")</f>
        <v/>
      </c>
    </row>
    <row r="481" spans="3:6" x14ac:dyDescent="0.25">
      <c r="C481" s="12"/>
      <c r="D481" s="12"/>
      <c r="E481" s="12"/>
      <c r="F481" s="12" t="str">
        <f>IFERROR(VLOOKUP(E481,'Data sheet'!$B:$C,2,0),"")</f>
        <v/>
      </c>
    </row>
    <row r="482" spans="3:6" x14ac:dyDescent="0.25">
      <c r="C482" s="12"/>
      <c r="D482" s="12"/>
      <c r="E482" s="12"/>
      <c r="F482" s="12" t="str">
        <f>IFERROR(VLOOKUP(E482,'Data sheet'!$B:$C,2,0),"")</f>
        <v/>
      </c>
    </row>
    <row r="483" spans="3:6" x14ac:dyDescent="0.25">
      <c r="C483" s="12"/>
      <c r="D483" s="12"/>
      <c r="E483" s="12"/>
      <c r="F483" s="12" t="str">
        <f>IFERROR(VLOOKUP(E483,'Data sheet'!$B:$C,2,0),"")</f>
        <v/>
      </c>
    </row>
    <row r="484" spans="3:6" x14ac:dyDescent="0.25">
      <c r="C484" s="12"/>
      <c r="D484" s="12"/>
      <c r="E484" s="12"/>
      <c r="F484" s="12" t="str">
        <f>IFERROR(VLOOKUP(E484,'Data sheet'!$B:$C,2,0),"")</f>
        <v/>
      </c>
    </row>
    <row r="485" spans="3:6" x14ac:dyDescent="0.25">
      <c r="C485" s="12"/>
      <c r="D485" s="12"/>
      <c r="E485" s="12"/>
      <c r="F485" s="12" t="str">
        <f>IFERROR(VLOOKUP(E485,'Data sheet'!$B:$C,2,0),"")</f>
        <v/>
      </c>
    </row>
    <row r="486" spans="3:6" x14ac:dyDescent="0.25">
      <c r="C486" s="12"/>
      <c r="D486" s="12"/>
      <c r="E486" s="12"/>
      <c r="F486" s="12" t="str">
        <f>IFERROR(VLOOKUP(E486,'Data sheet'!$B:$C,2,0),"")</f>
        <v/>
      </c>
    </row>
    <row r="487" spans="3:6" x14ac:dyDescent="0.25">
      <c r="C487" s="12"/>
      <c r="D487" s="12"/>
      <c r="E487" s="12"/>
      <c r="F487" s="12" t="str">
        <f>IFERROR(VLOOKUP(E487,'Data sheet'!$B:$C,2,0),"")</f>
        <v/>
      </c>
    </row>
    <row r="488" spans="3:6" x14ac:dyDescent="0.25">
      <c r="C488" s="12"/>
      <c r="D488" s="12"/>
      <c r="E488" s="12"/>
      <c r="F488" s="12" t="str">
        <f>IFERROR(VLOOKUP(E488,'Data sheet'!$B:$C,2,0),"")</f>
        <v/>
      </c>
    </row>
    <row r="489" spans="3:6" x14ac:dyDescent="0.25">
      <c r="C489" s="12"/>
      <c r="D489" s="12"/>
      <c r="E489" s="12"/>
      <c r="F489" s="12" t="str">
        <f>IFERROR(VLOOKUP(E489,'Data sheet'!$B:$C,2,0),"")</f>
        <v/>
      </c>
    </row>
    <row r="490" spans="3:6" x14ac:dyDescent="0.25">
      <c r="C490" s="12"/>
      <c r="D490" s="12"/>
      <c r="E490" s="12"/>
      <c r="F490" s="12" t="str">
        <f>IFERROR(VLOOKUP(E490,'Data sheet'!$B:$C,2,0),"")</f>
        <v/>
      </c>
    </row>
    <row r="491" spans="3:6" x14ac:dyDescent="0.25">
      <c r="C491" s="12"/>
      <c r="D491" s="12"/>
      <c r="E491" s="12"/>
      <c r="F491" s="12" t="str">
        <f>IFERROR(VLOOKUP(E491,'Data sheet'!$B:$C,2,0),"")</f>
        <v/>
      </c>
    </row>
    <row r="492" spans="3:6" x14ac:dyDescent="0.25">
      <c r="C492" s="12"/>
      <c r="D492" s="12"/>
      <c r="E492" s="12"/>
      <c r="F492" s="12" t="str">
        <f>IFERROR(VLOOKUP(E492,'Data sheet'!$B:$C,2,0),"")</f>
        <v/>
      </c>
    </row>
    <row r="493" spans="3:6" x14ac:dyDescent="0.25">
      <c r="C493" s="12"/>
      <c r="D493" s="12"/>
      <c r="E493" s="12"/>
      <c r="F493" s="12" t="str">
        <f>IFERROR(VLOOKUP(E493,'Data sheet'!$B:$C,2,0),"")</f>
        <v/>
      </c>
    </row>
    <row r="494" spans="3:6" x14ac:dyDescent="0.25">
      <c r="C494" s="12"/>
      <c r="D494" s="12"/>
      <c r="E494" s="12"/>
      <c r="F494" s="12" t="str">
        <f>IFERROR(VLOOKUP(E494,'Data sheet'!$B:$C,2,0),"")</f>
        <v/>
      </c>
    </row>
    <row r="495" spans="3:6" x14ac:dyDescent="0.25">
      <c r="C495" s="12"/>
      <c r="D495" s="12"/>
      <c r="E495" s="12"/>
      <c r="F495" s="12" t="str">
        <f>IFERROR(VLOOKUP(E495,'Data sheet'!$B:$C,2,0),"")</f>
        <v/>
      </c>
    </row>
    <row r="496" spans="3:6" x14ac:dyDescent="0.25">
      <c r="C496" s="12"/>
      <c r="D496" s="12"/>
      <c r="E496" s="12"/>
      <c r="F496" s="12" t="str">
        <f>IFERROR(VLOOKUP(E496,'Data sheet'!$B:$C,2,0),"")</f>
        <v/>
      </c>
    </row>
    <row r="497" spans="3:6" x14ac:dyDescent="0.25">
      <c r="C497" s="12"/>
      <c r="D497" s="12"/>
      <c r="E497" s="12"/>
      <c r="F497" s="12" t="str">
        <f>IFERROR(VLOOKUP(E497,'Data sheet'!$B:$C,2,0),"")</f>
        <v/>
      </c>
    </row>
    <row r="498" spans="3:6" x14ac:dyDescent="0.25">
      <c r="C498" s="12"/>
      <c r="D498" s="12"/>
      <c r="E498" s="12"/>
      <c r="F498" s="12" t="str">
        <f>IFERROR(VLOOKUP(E498,'Data sheet'!$B:$C,2,0),"")</f>
        <v/>
      </c>
    </row>
    <row r="499" spans="3:6" x14ac:dyDescent="0.25">
      <c r="C499" s="12"/>
      <c r="D499" s="12"/>
      <c r="E499" s="12"/>
      <c r="F499" s="12" t="str">
        <f>IFERROR(VLOOKUP(E499,'Data sheet'!$B:$C,2,0),"")</f>
        <v/>
      </c>
    </row>
    <row r="500" spans="3:6" x14ac:dyDescent="0.25">
      <c r="C500" s="12"/>
      <c r="D500" s="12"/>
      <c r="E500" s="12"/>
      <c r="F500" s="12" t="str">
        <f>IFERROR(VLOOKUP(E500,'Data sheet'!$B:$C,2,0),"")</f>
        <v/>
      </c>
    </row>
    <row r="501" spans="3:6" x14ac:dyDescent="0.25">
      <c r="C501" s="12"/>
      <c r="D501" s="12"/>
      <c r="E501" s="12"/>
      <c r="F501" s="12" t="str">
        <f>IFERROR(VLOOKUP(E501,'Data sheet'!$B:$C,2,0),"")</f>
        <v/>
      </c>
    </row>
    <row r="502" spans="3:6" x14ac:dyDescent="0.25">
      <c r="C502" s="12"/>
      <c r="D502" s="12"/>
      <c r="E502" s="12"/>
      <c r="F502" s="12" t="str">
        <f>IFERROR(VLOOKUP(E502,'Data sheet'!$B:$C,2,0),"")</f>
        <v/>
      </c>
    </row>
    <row r="503" spans="3:6" x14ac:dyDescent="0.25">
      <c r="C503" s="12"/>
      <c r="D503" s="12"/>
      <c r="E503" s="12"/>
      <c r="F503" s="12" t="str">
        <f>IFERROR(VLOOKUP(E503,'Data sheet'!$B:$C,2,0),"")</f>
        <v/>
      </c>
    </row>
    <row r="504" spans="3:6" x14ac:dyDescent="0.25">
      <c r="C504" s="12"/>
      <c r="D504" s="12"/>
      <c r="E504" s="12"/>
      <c r="F504" s="12" t="str">
        <f>IFERROR(VLOOKUP(E504,'Data sheet'!$B:$C,2,0),"")</f>
        <v/>
      </c>
    </row>
    <row r="505" spans="3:6" x14ac:dyDescent="0.25">
      <c r="C505" s="12"/>
      <c r="D505" s="12"/>
      <c r="E505" s="12"/>
      <c r="F505" s="12" t="str">
        <f>IFERROR(VLOOKUP(E505,'Data sheet'!$B:$C,2,0),"")</f>
        <v/>
      </c>
    </row>
    <row r="506" spans="3:6" x14ac:dyDescent="0.25">
      <c r="C506" s="12"/>
      <c r="D506" s="12"/>
      <c r="E506" s="12"/>
      <c r="F506" s="12" t="str">
        <f>IFERROR(VLOOKUP(E506,'Data sheet'!$B:$C,2,0),"")</f>
        <v/>
      </c>
    </row>
    <row r="507" spans="3:6" x14ac:dyDescent="0.25">
      <c r="C507" s="12"/>
      <c r="D507" s="12"/>
      <c r="E507" s="12"/>
      <c r="F507" s="12" t="str">
        <f>IFERROR(VLOOKUP(E507,'Data sheet'!$B:$C,2,0),"")</f>
        <v/>
      </c>
    </row>
    <row r="508" spans="3:6" x14ac:dyDescent="0.25">
      <c r="C508" s="12"/>
      <c r="D508" s="12"/>
      <c r="E508" s="12"/>
      <c r="F508" s="12" t="str">
        <f>IFERROR(VLOOKUP(E508,'Data sheet'!$B:$C,2,0),"")</f>
        <v/>
      </c>
    </row>
    <row r="509" spans="3:6" x14ac:dyDescent="0.25">
      <c r="C509" s="12"/>
      <c r="D509" s="12"/>
      <c r="E509" s="12"/>
      <c r="F509" s="12" t="str">
        <f>IFERROR(VLOOKUP(E509,'Data sheet'!$B:$C,2,0),"")</f>
        <v/>
      </c>
    </row>
    <row r="510" spans="3:6" x14ac:dyDescent="0.25">
      <c r="C510" s="12"/>
      <c r="D510" s="12"/>
      <c r="E510" s="12"/>
      <c r="F510" s="12" t="str">
        <f>IFERROR(VLOOKUP(E510,'Data sheet'!$B:$C,2,0),"")</f>
        <v/>
      </c>
    </row>
    <row r="511" spans="3:6" x14ac:dyDescent="0.25">
      <c r="C511" s="12"/>
      <c r="D511" s="12"/>
      <c r="E511" s="12"/>
      <c r="F511" s="12" t="str">
        <f>IFERROR(VLOOKUP(E511,'Data sheet'!$B:$C,2,0),"")</f>
        <v/>
      </c>
    </row>
    <row r="512" spans="3:6" x14ac:dyDescent="0.25">
      <c r="C512" s="12"/>
      <c r="D512" s="12"/>
      <c r="E512" s="12"/>
      <c r="F512" s="12" t="str">
        <f>IFERROR(VLOOKUP(E512,'Data sheet'!$B:$C,2,0),"")</f>
        <v/>
      </c>
    </row>
    <row r="513" spans="3:6" x14ac:dyDescent="0.25">
      <c r="C513" s="12"/>
      <c r="D513" s="12"/>
      <c r="E513" s="12"/>
      <c r="F513" s="12" t="str">
        <f>IFERROR(VLOOKUP(E513,'Data sheet'!$B:$C,2,0),"")</f>
        <v/>
      </c>
    </row>
    <row r="514" spans="3:6" x14ac:dyDescent="0.25">
      <c r="C514" s="12"/>
      <c r="D514" s="12"/>
      <c r="E514" s="12"/>
      <c r="F514" s="12" t="str">
        <f>IFERROR(VLOOKUP(E514,'Data sheet'!$B:$C,2,0),"")</f>
        <v/>
      </c>
    </row>
    <row r="515" spans="3:6" x14ac:dyDescent="0.25">
      <c r="C515" s="12"/>
      <c r="D515" s="12"/>
      <c r="E515" s="12"/>
      <c r="F515" s="12" t="str">
        <f>IFERROR(VLOOKUP(E515,'Data sheet'!$B:$C,2,0),"")</f>
        <v/>
      </c>
    </row>
    <row r="516" spans="3:6" x14ac:dyDescent="0.25">
      <c r="C516" s="12"/>
      <c r="D516" s="12"/>
      <c r="E516" s="12"/>
      <c r="F516" s="12" t="str">
        <f>IFERROR(VLOOKUP(E516,'Data sheet'!$B:$C,2,0),"")</f>
        <v/>
      </c>
    </row>
    <row r="517" spans="3:6" x14ac:dyDescent="0.25">
      <c r="C517" s="12"/>
      <c r="D517" s="12"/>
      <c r="E517" s="12"/>
      <c r="F517" s="12" t="str">
        <f>IFERROR(VLOOKUP(E517,'Data sheet'!$B:$C,2,0),"")</f>
        <v/>
      </c>
    </row>
    <row r="518" spans="3:6" x14ac:dyDescent="0.25">
      <c r="C518" s="12"/>
      <c r="D518" s="12"/>
      <c r="E518" s="12"/>
      <c r="F518" s="12" t="str">
        <f>IFERROR(VLOOKUP(E518,'Data sheet'!$B:$C,2,0),"")</f>
        <v/>
      </c>
    </row>
    <row r="519" spans="3:6" x14ac:dyDescent="0.25">
      <c r="C519" s="12"/>
      <c r="D519" s="12"/>
      <c r="E519" s="12"/>
      <c r="F519" s="12" t="str">
        <f>IFERROR(VLOOKUP(E519,'Data sheet'!$B:$C,2,0),"")</f>
        <v/>
      </c>
    </row>
    <row r="520" spans="3:6" x14ac:dyDescent="0.25">
      <c r="C520" s="12"/>
      <c r="D520" s="12"/>
      <c r="E520" s="12"/>
      <c r="F520" s="12" t="str">
        <f>IFERROR(VLOOKUP(E520,'Data sheet'!$B:$C,2,0),"")</f>
        <v/>
      </c>
    </row>
    <row r="521" spans="3:6" x14ac:dyDescent="0.25">
      <c r="C521" s="12"/>
      <c r="D521" s="12"/>
      <c r="E521" s="12"/>
      <c r="F521" s="12" t="str">
        <f>IFERROR(VLOOKUP(E521,'Data sheet'!$B:$C,2,0),"")</f>
        <v/>
      </c>
    </row>
    <row r="522" spans="3:6" x14ac:dyDescent="0.25">
      <c r="C522" s="12"/>
      <c r="D522" s="12"/>
      <c r="E522" s="12"/>
      <c r="F522" s="12" t="str">
        <f>IFERROR(VLOOKUP(E522,'Data sheet'!$B:$C,2,0),"")</f>
        <v/>
      </c>
    </row>
    <row r="523" spans="3:6" x14ac:dyDescent="0.25">
      <c r="C523" s="12"/>
      <c r="D523" s="12"/>
      <c r="E523" s="12"/>
      <c r="F523" s="12" t="str">
        <f>IFERROR(VLOOKUP(E523,'Data sheet'!$B:$C,2,0),"")</f>
        <v/>
      </c>
    </row>
    <row r="524" spans="3:6" x14ac:dyDescent="0.25">
      <c r="C524" s="12"/>
      <c r="D524" s="12"/>
      <c r="E524" s="12"/>
      <c r="F524" s="12" t="str">
        <f>IFERROR(VLOOKUP(E524,'Data sheet'!$B:$C,2,0),"")</f>
        <v/>
      </c>
    </row>
    <row r="525" spans="3:6" x14ac:dyDescent="0.25">
      <c r="C525" s="12"/>
      <c r="D525" s="12"/>
      <c r="E525" s="12"/>
      <c r="F525" s="12" t="str">
        <f>IFERROR(VLOOKUP(E525,'Data sheet'!$B:$C,2,0),"")</f>
        <v/>
      </c>
    </row>
    <row r="526" spans="3:6" x14ac:dyDescent="0.25">
      <c r="C526" s="12"/>
      <c r="D526" s="12"/>
      <c r="E526" s="12"/>
      <c r="F526" s="12" t="str">
        <f>IFERROR(VLOOKUP(E526,'Data sheet'!$B:$C,2,0),"")</f>
        <v/>
      </c>
    </row>
    <row r="527" spans="3:6" x14ac:dyDescent="0.25">
      <c r="C527" s="12"/>
      <c r="D527" s="12"/>
      <c r="E527" s="12"/>
      <c r="F527" s="12" t="str">
        <f>IFERROR(VLOOKUP(E527,'Data sheet'!$B:$C,2,0),"")</f>
        <v/>
      </c>
    </row>
    <row r="528" spans="3:6" x14ac:dyDescent="0.25">
      <c r="C528" s="12"/>
      <c r="D528" s="12"/>
      <c r="E528" s="12"/>
      <c r="F528" s="12" t="str">
        <f>IFERROR(VLOOKUP(E528,'Data sheet'!$B:$C,2,0),"")</f>
        <v/>
      </c>
    </row>
    <row r="529" spans="3:6" x14ac:dyDescent="0.25">
      <c r="C529" s="12"/>
      <c r="D529" s="12"/>
      <c r="E529" s="12"/>
      <c r="F529" s="12" t="str">
        <f>IFERROR(VLOOKUP(E529,'Data sheet'!$B:$C,2,0),"")</f>
        <v/>
      </c>
    </row>
    <row r="530" spans="3:6" x14ac:dyDescent="0.25">
      <c r="C530" s="12"/>
      <c r="D530" s="12"/>
      <c r="E530" s="12"/>
      <c r="F530" s="12" t="str">
        <f>IFERROR(VLOOKUP(E530,'Data sheet'!$B:$C,2,0),"")</f>
        <v/>
      </c>
    </row>
    <row r="531" spans="3:6" x14ac:dyDescent="0.25">
      <c r="C531" s="12"/>
      <c r="D531" s="12"/>
      <c r="E531" s="12"/>
      <c r="F531" s="12" t="str">
        <f>IFERROR(VLOOKUP(E531,'Data sheet'!$B:$C,2,0),"")</f>
        <v/>
      </c>
    </row>
    <row r="532" spans="3:6" x14ac:dyDescent="0.25">
      <c r="C532" s="12"/>
      <c r="D532" s="12"/>
      <c r="E532" s="12"/>
      <c r="F532" s="12" t="str">
        <f>IFERROR(VLOOKUP(E532,'Data sheet'!$B:$C,2,0),"")</f>
        <v/>
      </c>
    </row>
    <row r="533" spans="3:6" x14ac:dyDescent="0.25">
      <c r="C533" s="12"/>
      <c r="D533" s="12"/>
      <c r="E533" s="12"/>
      <c r="F533" s="12" t="str">
        <f>IFERROR(VLOOKUP(E533,'Data sheet'!$B:$C,2,0),"")</f>
        <v/>
      </c>
    </row>
    <row r="534" spans="3:6" x14ac:dyDescent="0.25">
      <c r="C534" s="12"/>
      <c r="D534" s="12"/>
      <c r="E534" s="12"/>
      <c r="F534" s="12" t="str">
        <f>IFERROR(VLOOKUP(E534,'Data sheet'!$B:$C,2,0),"")</f>
        <v/>
      </c>
    </row>
    <row r="535" spans="3:6" x14ac:dyDescent="0.25">
      <c r="C535" s="12"/>
      <c r="D535" s="12"/>
      <c r="E535" s="12"/>
      <c r="F535" s="12" t="str">
        <f>IFERROR(VLOOKUP(E535,'Data sheet'!$B:$C,2,0),"")</f>
        <v/>
      </c>
    </row>
    <row r="536" spans="3:6" x14ac:dyDescent="0.25">
      <c r="C536" s="12"/>
      <c r="D536" s="12"/>
      <c r="E536" s="12"/>
      <c r="F536" s="12" t="str">
        <f>IFERROR(VLOOKUP(E536,'Data sheet'!$B:$C,2,0),"")</f>
        <v/>
      </c>
    </row>
    <row r="537" spans="3:6" x14ac:dyDescent="0.25">
      <c r="C537" s="12"/>
      <c r="D537" s="12"/>
      <c r="E537" s="12"/>
      <c r="F537" s="12" t="str">
        <f>IFERROR(VLOOKUP(E537,'Data sheet'!$B:$C,2,0),"")</f>
        <v/>
      </c>
    </row>
    <row r="538" spans="3:6" x14ac:dyDescent="0.25">
      <c r="C538" s="12"/>
      <c r="D538" s="12"/>
      <c r="E538" s="12"/>
      <c r="F538" s="12" t="str">
        <f>IFERROR(VLOOKUP(E538,'Data sheet'!$B:$C,2,0),"")</f>
        <v/>
      </c>
    </row>
    <row r="539" spans="3:6" x14ac:dyDescent="0.25">
      <c r="C539" s="12"/>
      <c r="D539" s="12"/>
      <c r="E539" s="12"/>
      <c r="F539" s="12" t="str">
        <f>IFERROR(VLOOKUP(E539,'Data sheet'!$B:$C,2,0),"")</f>
        <v/>
      </c>
    </row>
    <row r="540" spans="3:6" x14ac:dyDescent="0.25">
      <c r="C540" s="12"/>
      <c r="D540" s="12"/>
      <c r="E540" s="12"/>
      <c r="F540" s="12" t="str">
        <f>IFERROR(VLOOKUP(E540,'Data sheet'!$B:$C,2,0),"")</f>
        <v/>
      </c>
    </row>
    <row r="541" spans="3:6" x14ac:dyDescent="0.25">
      <c r="C541" s="12"/>
      <c r="D541" s="12"/>
      <c r="E541" s="12"/>
      <c r="F541" s="12" t="str">
        <f>IFERROR(VLOOKUP(E541,'Data sheet'!$B:$C,2,0),"")</f>
        <v/>
      </c>
    </row>
    <row r="542" spans="3:6" x14ac:dyDescent="0.25">
      <c r="C542" s="12"/>
      <c r="D542" s="12"/>
      <c r="E542" s="12"/>
      <c r="F542" s="12" t="str">
        <f>IFERROR(VLOOKUP(E542,'Data sheet'!$B:$C,2,0),"")</f>
        <v/>
      </c>
    </row>
    <row r="543" spans="3:6" x14ac:dyDescent="0.25">
      <c r="C543" s="12"/>
      <c r="D543" s="12"/>
      <c r="E543" s="12"/>
      <c r="F543" s="12" t="str">
        <f>IFERROR(VLOOKUP(E543,'Data sheet'!$B:$C,2,0),"")</f>
        <v/>
      </c>
    </row>
    <row r="544" spans="3:6" x14ac:dyDescent="0.25">
      <c r="C544" s="12"/>
      <c r="D544" s="12"/>
      <c r="E544" s="12"/>
      <c r="F544" s="12" t="str">
        <f>IFERROR(VLOOKUP(E544,'Data sheet'!$B:$C,2,0),"")</f>
        <v/>
      </c>
    </row>
    <row r="545" spans="3:6" x14ac:dyDescent="0.25">
      <c r="C545" s="12"/>
      <c r="D545" s="12"/>
      <c r="E545" s="12"/>
      <c r="F545" s="12" t="str">
        <f>IFERROR(VLOOKUP(E545,'Data sheet'!$B:$C,2,0),"")</f>
        <v/>
      </c>
    </row>
    <row r="546" spans="3:6" x14ac:dyDescent="0.25">
      <c r="C546" s="12"/>
      <c r="D546" s="12"/>
      <c r="E546" s="12"/>
      <c r="F546" s="12" t="str">
        <f>IFERROR(VLOOKUP(E546,'Data sheet'!$B:$C,2,0),"")</f>
        <v/>
      </c>
    </row>
    <row r="547" spans="3:6" x14ac:dyDescent="0.25">
      <c r="C547" s="12"/>
      <c r="D547" s="12"/>
      <c r="E547" s="12"/>
      <c r="F547" s="12" t="str">
        <f>IFERROR(VLOOKUP(E547,'Data sheet'!$B:$C,2,0),"")</f>
        <v/>
      </c>
    </row>
    <row r="548" spans="3:6" x14ac:dyDescent="0.25">
      <c r="C548" s="12"/>
      <c r="D548" s="12"/>
      <c r="E548" s="12"/>
      <c r="F548" s="12" t="str">
        <f>IFERROR(VLOOKUP(E548,'Data sheet'!$B:$C,2,0),"")</f>
        <v/>
      </c>
    </row>
    <row r="549" spans="3:6" x14ac:dyDescent="0.25">
      <c r="C549" s="12"/>
      <c r="D549" s="12"/>
      <c r="E549" s="12"/>
      <c r="F549" s="12" t="str">
        <f>IFERROR(VLOOKUP(E549,'Data sheet'!$B:$C,2,0),"")</f>
        <v/>
      </c>
    </row>
    <row r="550" spans="3:6" x14ac:dyDescent="0.25">
      <c r="C550" s="12"/>
      <c r="D550" s="12"/>
      <c r="E550" s="12"/>
      <c r="F550" s="12" t="str">
        <f>IFERROR(VLOOKUP(E550,'Data sheet'!$B:$C,2,0),"")</f>
        <v/>
      </c>
    </row>
    <row r="551" spans="3:6" x14ac:dyDescent="0.25">
      <c r="C551" s="12"/>
      <c r="D551" s="12"/>
      <c r="E551" s="12"/>
      <c r="F551" s="12" t="str">
        <f>IFERROR(VLOOKUP(E551,'Data sheet'!$B:$C,2,0),"")</f>
        <v/>
      </c>
    </row>
    <row r="552" spans="3:6" x14ac:dyDescent="0.25">
      <c r="C552" s="12"/>
      <c r="D552" s="12"/>
      <c r="E552" s="12"/>
      <c r="F552" s="12" t="str">
        <f>IFERROR(VLOOKUP(E552,'Data sheet'!$B:$C,2,0),"")</f>
        <v/>
      </c>
    </row>
    <row r="553" spans="3:6" x14ac:dyDescent="0.25">
      <c r="C553" s="12"/>
      <c r="D553" s="12"/>
      <c r="E553" s="12"/>
      <c r="F553" s="12" t="str">
        <f>IFERROR(VLOOKUP(E553,'Data sheet'!$B:$C,2,0),"")</f>
        <v/>
      </c>
    </row>
    <row r="554" spans="3:6" x14ac:dyDescent="0.25">
      <c r="C554" s="12"/>
      <c r="D554" s="12"/>
      <c r="E554" s="12"/>
      <c r="F554" s="12" t="str">
        <f>IFERROR(VLOOKUP(E554,'Data sheet'!$B:$C,2,0),"")</f>
        <v/>
      </c>
    </row>
    <row r="555" spans="3:6" x14ac:dyDescent="0.25">
      <c r="C555" s="12"/>
      <c r="D555" s="12"/>
      <c r="E555" s="12"/>
      <c r="F555" s="12" t="str">
        <f>IFERROR(VLOOKUP(E555,'Data sheet'!$B:$C,2,0),"")</f>
        <v/>
      </c>
    </row>
    <row r="556" spans="3:6" x14ac:dyDescent="0.25">
      <c r="C556" s="12"/>
      <c r="D556" s="12"/>
      <c r="E556" s="12"/>
      <c r="F556" s="12" t="str">
        <f>IFERROR(VLOOKUP(E556,'Data sheet'!$B:$C,2,0),"")</f>
        <v/>
      </c>
    </row>
    <row r="557" spans="3:6" x14ac:dyDescent="0.25">
      <c r="C557" s="12"/>
      <c r="D557" s="12"/>
      <c r="E557" s="12"/>
      <c r="F557" s="12" t="str">
        <f>IFERROR(VLOOKUP(E557,'Data sheet'!$B:$C,2,0),"")</f>
        <v/>
      </c>
    </row>
    <row r="558" spans="3:6" x14ac:dyDescent="0.25">
      <c r="C558" s="12"/>
      <c r="D558" s="12"/>
      <c r="E558" s="12"/>
      <c r="F558" s="12" t="str">
        <f>IFERROR(VLOOKUP(E558,'Data sheet'!$B:$C,2,0),"")</f>
        <v/>
      </c>
    </row>
    <row r="559" spans="3:6" x14ac:dyDescent="0.25">
      <c r="C559" s="12"/>
      <c r="D559" s="12"/>
      <c r="E559" s="12"/>
      <c r="F559" s="12" t="str">
        <f>IFERROR(VLOOKUP(E559,'Data sheet'!$B:$C,2,0),"")</f>
        <v/>
      </c>
    </row>
    <row r="560" spans="3:6" x14ac:dyDescent="0.25">
      <c r="C560" s="12"/>
      <c r="D560" s="12"/>
      <c r="E560" s="12"/>
      <c r="F560" s="12" t="str">
        <f>IFERROR(VLOOKUP(E560,'Data sheet'!$B:$C,2,0),"")</f>
        <v/>
      </c>
    </row>
    <row r="561" spans="3:6" x14ac:dyDescent="0.25">
      <c r="C561" s="12"/>
      <c r="D561" s="12"/>
      <c r="E561" s="12"/>
      <c r="F561" s="12" t="str">
        <f>IFERROR(VLOOKUP(E561,'Data sheet'!$B:$C,2,0),"")</f>
        <v/>
      </c>
    </row>
    <row r="562" spans="3:6" x14ac:dyDescent="0.25">
      <c r="C562" s="12"/>
      <c r="D562" s="12"/>
      <c r="E562" s="12"/>
      <c r="F562" s="12" t="str">
        <f>IFERROR(VLOOKUP(E562,'Data sheet'!$B:$C,2,0),"")</f>
        <v/>
      </c>
    </row>
    <row r="563" spans="3:6" x14ac:dyDescent="0.25">
      <c r="C563" s="12"/>
      <c r="D563" s="12"/>
      <c r="E563" s="12"/>
      <c r="F563" s="12" t="str">
        <f>IFERROR(VLOOKUP(E563,'Data sheet'!$B:$C,2,0),"")</f>
        <v/>
      </c>
    </row>
    <row r="564" spans="3:6" x14ac:dyDescent="0.25">
      <c r="C564" s="12"/>
      <c r="D564" s="12"/>
      <c r="E564" s="12"/>
      <c r="F564" s="12" t="str">
        <f>IFERROR(VLOOKUP(E564,'Data sheet'!$B:$C,2,0),"")</f>
        <v/>
      </c>
    </row>
    <row r="565" spans="3:6" x14ac:dyDescent="0.25">
      <c r="C565" s="12"/>
      <c r="D565" s="12"/>
      <c r="E565" s="12"/>
      <c r="F565" s="12" t="str">
        <f>IFERROR(VLOOKUP(E565,'Data sheet'!$B:$C,2,0),"")</f>
        <v/>
      </c>
    </row>
    <row r="566" spans="3:6" x14ac:dyDescent="0.25">
      <c r="C566" s="12"/>
      <c r="D566" s="12"/>
      <c r="E566" s="12"/>
      <c r="F566" s="12" t="str">
        <f>IFERROR(VLOOKUP(E566,'Data sheet'!$B:$C,2,0),"")</f>
        <v/>
      </c>
    </row>
    <row r="567" spans="3:6" x14ac:dyDescent="0.25">
      <c r="C567" s="12"/>
      <c r="D567" s="12"/>
      <c r="E567" s="12"/>
      <c r="F567" s="12" t="str">
        <f>IFERROR(VLOOKUP(E567,'Data sheet'!$B:$C,2,0),"")</f>
        <v/>
      </c>
    </row>
    <row r="568" spans="3:6" x14ac:dyDescent="0.25">
      <c r="C568" s="12"/>
      <c r="D568" s="12"/>
      <c r="E568" s="12"/>
      <c r="F568" s="12" t="str">
        <f>IFERROR(VLOOKUP(E568,'Data sheet'!$B:$C,2,0),"")</f>
        <v/>
      </c>
    </row>
    <row r="569" spans="3:6" x14ac:dyDescent="0.25">
      <c r="C569" s="12"/>
      <c r="D569" s="12"/>
      <c r="E569" s="12"/>
      <c r="F569" s="12" t="str">
        <f>IFERROR(VLOOKUP(E569,'Data sheet'!$B:$C,2,0),"")</f>
        <v/>
      </c>
    </row>
    <row r="570" spans="3:6" x14ac:dyDescent="0.25">
      <c r="C570" s="12"/>
      <c r="D570" s="12"/>
      <c r="E570" s="12"/>
      <c r="F570" s="12" t="str">
        <f>IFERROR(VLOOKUP(E570,'Data sheet'!$B:$C,2,0),"")</f>
        <v/>
      </c>
    </row>
    <row r="571" spans="3:6" x14ac:dyDescent="0.25">
      <c r="C571" s="12"/>
      <c r="D571" s="12"/>
      <c r="E571" s="12"/>
      <c r="F571" s="12" t="str">
        <f>IFERROR(VLOOKUP(E571,'Data sheet'!$B:$C,2,0),"")</f>
        <v/>
      </c>
    </row>
    <row r="572" spans="3:6" x14ac:dyDescent="0.25">
      <c r="C572" s="12"/>
      <c r="D572" s="12"/>
      <c r="E572" s="12"/>
      <c r="F572" s="12" t="str">
        <f>IFERROR(VLOOKUP(E572,'Data sheet'!$B:$C,2,0),"")</f>
        <v/>
      </c>
    </row>
    <row r="573" spans="3:6" x14ac:dyDescent="0.25">
      <c r="C573" s="12"/>
      <c r="D573" s="12"/>
      <c r="E573" s="12"/>
      <c r="F573" s="12" t="str">
        <f>IFERROR(VLOOKUP(E573,'Data sheet'!$B:$C,2,0),"")</f>
        <v/>
      </c>
    </row>
    <row r="574" spans="3:6" x14ac:dyDescent="0.25">
      <c r="C574" s="12"/>
      <c r="D574" s="12"/>
      <c r="E574" s="12"/>
      <c r="F574" s="12" t="str">
        <f>IFERROR(VLOOKUP(E574,'Data sheet'!$B:$C,2,0),"")</f>
        <v/>
      </c>
    </row>
    <row r="575" spans="3:6" x14ac:dyDescent="0.25">
      <c r="C575" s="12"/>
      <c r="D575" s="12"/>
      <c r="E575" s="12"/>
      <c r="F575" s="12" t="str">
        <f>IFERROR(VLOOKUP(E575,'Data sheet'!$B:$C,2,0),"")</f>
        <v/>
      </c>
    </row>
    <row r="576" spans="3:6" x14ac:dyDescent="0.25">
      <c r="C576" s="12"/>
      <c r="D576" s="12"/>
      <c r="E576" s="12"/>
      <c r="F576" s="12" t="str">
        <f>IFERROR(VLOOKUP(E576,'Data sheet'!$B:$C,2,0),"")</f>
        <v/>
      </c>
    </row>
    <row r="577" spans="3:6" x14ac:dyDescent="0.25">
      <c r="C577" s="12"/>
      <c r="D577" s="12"/>
      <c r="E577" s="12"/>
      <c r="F577" s="12" t="str">
        <f>IFERROR(VLOOKUP(E577,'Data sheet'!$B:$C,2,0),"")</f>
        <v/>
      </c>
    </row>
    <row r="578" spans="3:6" x14ac:dyDescent="0.25">
      <c r="C578" s="12"/>
      <c r="D578" s="12"/>
      <c r="E578" s="12"/>
      <c r="F578" s="12" t="str">
        <f>IFERROR(VLOOKUP(E578,'Data sheet'!$B:$C,2,0),"")</f>
        <v/>
      </c>
    </row>
    <row r="579" spans="3:6" x14ac:dyDescent="0.25">
      <c r="C579" s="12"/>
      <c r="D579" s="12"/>
      <c r="E579" s="12"/>
      <c r="F579" s="12" t="str">
        <f>IFERROR(VLOOKUP(E579,'Data sheet'!$B:$C,2,0),"")</f>
        <v/>
      </c>
    </row>
    <row r="580" spans="3:6" x14ac:dyDescent="0.25">
      <c r="C580" s="12"/>
      <c r="D580" s="12"/>
      <c r="E580" s="12"/>
      <c r="F580" s="12" t="str">
        <f>IFERROR(VLOOKUP(E580,'Data sheet'!$B:$C,2,0),"")</f>
        <v/>
      </c>
    </row>
    <row r="581" spans="3:6" x14ac:dyDescent="0.25">
      <c r="C581" s="12"/>
      <c r="D581" s="12"/>
      <c r="E581" s="12"/>
      <c r="F581" s="12" t="str">
        <f>IFERROR(VLOOKUP(E581,'Data sheet'!$B:$C,2,0),"")</f>
        <v/>
      </c>
    </row>
    <row r="582" spans="3:6" x14ac:dyDescent="0.25">
      <c r="C582" s="12"/>
      <c r="D582" s="12"/>
      <c r="E582" s="12"/>
      <c r="F582" s="12" t="str">
        <f>IFERROR(VLOOKUP(E582,'Data sheet'!$B:$C,2,0),"")</f>
        <v/>
      </c>
    </row>
    <row r="583" spans="3:6" x14ac:dyDescent="0.25">
      <c r="C583" s="12"/>
      <c r="D583" s="12"/>
      <c r="E583" s="12"/>
      <c r="F583" s="12" t="str">
        <f>IFERROR(VLOOKUP(E583,'Data sheet'!$B:$C,2,0),"")</f>
        <v/>
      </c>
    </row>
    <row r="584" spans="3:6" x14ac:dyDescent="0.25">
      <c r="C584" s="12"/>
      <c r="D584" s="12"/>
      <c r="E584" s="12"/>
      <c r="F584" s="12" t="str">
        <f>IFERROR(VLOOKUP(E584,'Data sheet'!$B:$C,2,0),"")</f>
        <v/>
      </c>
    </row>
    <row r="585" spans="3:6" x14ac:dyDescent="0.25">
      <c r="C585" s="12"/>
      <c r="D585" s="12"/>
      <c r="E585" s="12"/>
      <c r="F585" s="12" t="str">
        <f>IFERROR(VLOOKUP(E585,'Data sheet'!$B:$C,2,0),"")</f>
        <v/>
      </c>
    </row>
    <row r="586" spans="3:6" x14ac:dyDescent="0.25">
      <c r="C586" s="12"/>
      <c r="D586" s="12"/>
      <c r="E586" s="12"/>
      <c r="F586" s="12" t="str">
        <f>IFERROR(VLOOKUP(E586,'Data sheet'!$B:$C,2,0),"")</f>
        <v/>
      </c>
    </row>
    <row r="587" spans="3:6" x14ac:dyDescent="0.25">
      <c r="C587" s="12"/>
      <c r="D587" s="12"/>
      <c r="E587" s="12"/>
      <c r="F587" s="12" t="str">
        <f>IFERROR(VLOOKUP(E587,'Data sheet'!$B:$C,2,0),"")</f>
        <v/>
      </c>
    </row>
    <row r="588" spans="3:6" x14ac:dyDescent="0.25">
      <c r="C588" s="12"/>
      <c r="D588" s="12"/>
      <c r="E588" s="12"/>
      <c r="F588" s="12" t="str">
        <f>IFERROR(VLOOKUP(E588,'Data sheet'!$B:$C,2,0),"")</f>
        <v/>
      </c>
    </row>
    <row r="589" spans="3:6" x14ac:dyDescent="0.25">
      <c r="C589" s="12"/>
      <c r="D589" s="12"/>
      <c r="E589" s="12"/>
      <c r="F589" s="12" t="str">
        <f>IFERROR(VLOOKUP(E589,'Data sheet'!$B:$C,2,0),"")</f>
        <v/>
      </c>
    </row>
    <row r="590" spans="3:6" x14ac:dyDescent="0.25">
      <c r="C590" s="12"/>
      <c r="D590" s="12"/>
      <c r="E590" s="12"/>
      <c r="F590" s="12" t="str">
        <f>IFERROR(VLOOKUP(E590,'Data sheet'!$B:$C,2,0),"")</f>
        <v/>
      </c>
    </row>
    <row r="591" spans="3:6" x14ac:dyDescent="0.25">
      <c r="C591" s="12"/>
      <c r="D591" s="12"/>
      <c r="E591" s="12"/>
      <c r="F591" s="12" t="str">
        <f>IFERROR(VLOOKUP(E591,'Data sheet'!$B:$C,2,0),"")</f>
        <v/>
      </c>
    </row>
    <row r="592" spans="3:6" x14ac:dyDescent="0.25">
      <c r="C592" s="12"/>
      <c r="D592" s="12"/>
      <c r="E592" s="12"/>
      <c r="F592" s="12" t="str">
        <f>IFERROR(VLOOKUP(E592,'Data sheet'!$B:$C,2,0),"")</f>
        <v/>
      </c>
    </row>
    <row r="593" spans="3:6" x14ac:dyDescent="0.25">
      <c r="C593" s="12"/>
      <c r="D593" s="12"/>
      <c r="E593" s="12"/>
      <c r="F593" s="12" t="str">
        <f>IFERROR(VLOOKUP(E593,'Data sheet'!$B:$C,2,0),"")</f>
        <v/>
      </c>
    </row>
    <row r="594" spans="3:6" x14ac:dyDescent="0.25">
      <c r="C594" s="12"/>
      <c r="D594" s="12"/>
      <c r="E594" s="12"/>
      <c r="F594" s="12" t="str">
        <f>IFERROR(VLOOKUP(E594,'Data sheet'!$B:$C,2,0),"")</f>
        <v/>
      </c>
    </row>
    <row r="595" spans="3:6" x14ac:dyDescent="0.25">
      <c r="C595" s="12"/>
      <c r="D595" s="12"/>
      <c r="E595" s="12"/>
      <c r="F595" s="12" t="str">
        <f>IFERROR(VLOOKUP(E595,'Data sheet'!$B:$C,2,0),"")</f>
        <v/>
      </c>
    </row>
    <row r="596" spans="3:6" x14ac:dyDescent="0.25">
      <c r="C596" s="12"/>
      <c r="D596" s="12"/>
      <c r="E596" s="12"/>
      <c r="F596" s="12" t="str">
        <f>IFERROR(VLOOKUP(E596,'Data sheet'!$B:$C,2,0),"")</f>
        <v/>
      </c>
    </row>
    <row r="597" spans="3:6" x14ac:dyDescent="0.25">
      <c r="C597" s="12"/>
      <c r="D597" s="12"/>
      <c r="E597" s="12"/>
      <c r="F597" s="12" t="str">
        <f>IFERROR(VLOOKUP(E597,'Data sheet'!$B:$C,2,0),"")</f>
        <v/>
      </c>
    </row>
    <row r="598" spans="3:6" x14ac:dyDescent="0.25">
      <c r="C598" s="12"/>
      <c r="D598" s="12"/>
      <c r="E598" s="12"/>
      <c r="F598" s="12" t="str">
        <f>IFERROR(VLOOKUP(E598,'Data sheet'!$B:$C,2,0),"")</f>
        <v/>
      </c>
    </row>
    <row r="599" spans="3:6" x14ac:dyDescent="0.25">
      <c r="C599" s="12"/>
      <c r="D599" s="12"/>
      <c r="E599" s="12"/>
      <c r="F599" s="12" t="str">
        <f>IFERROR(VLOOKUP(E599,'Data sheet'!$B:$C,2,0),"")</f>
        <v/>
      </c>
    </row>
    <row r="600" spans="3:6" x14ac:dyDescent="0.25">
      <c r="C600" s="12"/>
      <c r="D600" s="12"/>
      <c r="E600" s="12"/>
      <c r="F600" s="12" t="str">
        <f>IFERROR(VLOOKUP(E600,'Data sheet'!$B:$C,2,0),"")</f>
        <v/>
      </c>
    </row>
    <row r="601" spans="3:6" x14ac:dyDescent="0.25">
      <c r="C601" s="12"/>
      <c r="D601" s="12"/>
      <c r="E601" s="12"/>
      <c r="F601" s="12" t="str">
        <f>IFERROR(VLOOKUP(E601,'Data sheet'!$B:$C,2,0),"")</f>
        <v/>
      </c>
    </row>
    <row r="602" spans="3:6" x14ac:dyDescent="0.25">
      <c r="C602" s="12"/>
      <c r="D602" s="12"/>
      <c r="E602" s="12"/>
      <c r="F602" s="12" t="str">
        <f>IFERROR(VLOOKUP(E602,'Data sheet'!$B:$C,2,0),"")</f>
        <v/>
      </c>
    </row>
    <row r="603" spans="3:6" x14ac:dyDescent="0.25">
      <c r="C603" s="12"/>
      <c r="D603" s="12"/>
      <c r="E603" s="12"/>
      <c r="F603" s="12" t="str">
        <f>IFERROR(VLOOKUP(E603,'Data sheet'!$B:$C,2,0),"")</f>
        <v/>
      </c>
    </row>
    <row r="604" spans="3:6" x14ac:dyDescent="0.25">
      <c r="C604" s="12"/>
      <c r="D604" s="12"/>
      <c r="E604" s="12"/>
      <c r="F604" s="12" t="str">
        <f>IFERROR(VLOOKUP(E604,'Data sheet'!$B:$C,2,0),"")</f>
        <v/>
      </c>
    </row>
    <row r="605" spans="3:6" x14ac:dyDescent="0.25">
      <c r="C605" s="12"/>
      <c r="D605" s="12"/>
      <c r="E605" s="12"/>
      <c r="F605" s="12"/>
    </row>
    <row r="606" spans="3:6" x14ac:dyDescent="0.25">
      <c r="C606" s="12"/>
      <c r="D606" s="12"/>
      <c r="E606" s="12"/>
      <c r="F606" s="12" t="str">
        <f>IFERROR(VLOOKUP(E606,'Data sheet'!$B:$C,2,0),"")</f>
        <v/>
      </c>
    </row>
    <row r="607" spans="3:6" x14ac:dyDescent="0.25">
      <c r="C607" s="12"/>
      <c r="D607" s="12"/>
      <c r="E607" s="12"/>
      <c r="F607" s="12" t="str">
        <f>IFERROR(VLOOKUP(E607,'Data sheet'!$B:$C,2,0),"")</f>
        <v/>
      </c>
    </row>
    <row r="608" spans="3:6" x14ac:dyDescent="0.25">
      <c r="C608" s="12"/>
      <c r="D608" s="12"/>
      <c r="E608" s="12"/>
      <c r="F608" s="12" t="str">
        <f>IFERROR(VLOOKUP(E608,'Data sheet'!$B:$C,2,0),"")</f>
        <v/>
      </c>
    </row>
    <row r="609" spans="3:6" x14ac:dyDescent="0.25">
      <c r="C609" s="12"/>
      <c r="D609" s="12"/>
      <c r="E609" s="12"/>
      <c r="F609" s="12" t="str">
        <f>IFERROR(VLOOKUP(E609,'Data sheet'!$B:$C,2,0),"")</f>
        <v/>
      </c>
    </row>
    <row r="610" spans="3:6" x14ac:dyDescent="0.25">
      <c r="C610" s="12"/>
      <c r="D610" s="12"/>
      <c r="E610" s="12"/>
      <c r="F610" s="12" t="str">
        <f>IFERROR(VLOOKUP(E610,'Data sheet'!$B:$C,2,0),"")</f>
        <v/>
      </c>
    </row>
    <row r="611" spans="3:6" x14ac:dyDescent="0.25">
      <c r="C611" s="12"/>
      <c r="D611" s="12"/>
      <c r="E611" s="12"/>
      <c r="F611" s="12" t="str">
        <f>IFERROR(VLOOKUP(E611,'Data sheet'!$B:$C,2,0),"")</f>
        <v/>
      </c>
    </row>
    <row r="612" spans="3:6" x14ac:dyDescent="0.25">
      <c r="C612" s="12"/>
      <c r="D612" s="12"/>
      <c r="E612" s="12"/>
      <c r="F612" s="12" t="str">
        <f>IFERROR(VLOOKUP(E612,'Data sheet'!$B:$C,2,0),"")</f>
        <v/>
      </c>
    </row>
    <row r="613" spans="3:6" x14ac:dyDescent="0.25">
      <c r="C613" s="12"/>
      <c r="D613" s="12"/>
      <c r="E613" s="12"/>
      <c r="F613" s="12" t="str">
        <f>IFERROR(VLOOKUP(E613,'Data sheet'!$B:$C,2),"")</f>
        <v/>
      </c>
    </row>
    <row r="614" spans="3:6" x14ac:dyDescent="0.25">
      <c r="C614" s="12"/>
      <c r="D614" s="12"/>
      <c r="E614" s="12"/>
      <c r="F614" s="12" t="str">
        <f>IFERROR(VLOOKUP(E614,'Data sheet'!$B:$C,2),"")</f>
        <v/>
      </c>
    </row>
    <row r="615" spans="3:6" x14ac:dyDescent="0.25">
      <c r="C615" s="12"/>
      <c r="D615" s="12"/>
      <c r="E615" s="12"/>
      <c r="F615" s="12" t="str">
        <f>IFERROR(VLOOKUP(E615,'Data sheet'!$B:$C,2),"")</f>
        <v/>
      </c>
    </row>
    <row r="616" spans="3:6" x14ac:dyDescent="0.25">
      <c r="C616" s="12"/>
      <c r="D616" s="12"/>
      <c r="E616" s="12"/>
      <c r="F616" s="12" t="str">
        <f>IFERROR(VLOOKUP(E616,'Data sheet'!$B:$C,2),"")</f>
        <v/>
      </c>
    </row>
    <row r="617" spans="3:6" x14ac:dyDescent="0.25">
      <c r="C617" s="12"/>
      <c r="D617" s="12"/>
      <c r="E617" s="12"/>
      <c r="F617" s="12" t="str">
        <f>IFERROR(VLOOKUP(E617,'Data sheet'!$B:$C,2),"")</f>
        <v/>
      </c>
    </row>
    <row r="618" spans="3:6" x14ac:dyDescent="0.25">
      <c r="C618" s="12"/>
      <c r="D618" s="12"/>
      <c r="E618" s="12"/>
      <c r="F618" s="12" t="str">
        <f>IFERROR(VLOOKUP(E618,'Data sheet'!$B:$C,2),"")</f>
        <v/>
      </c>
    </row>
    <row r="619" spans="3:6" x14ac:dyDescent="0.25">
      <c r="C619" s="12"/>
      <c r="D619" s="12"/>
      <c r="E619" s="12"/>
      <c r="F619" s="12" t="str">
        <f>IFERROR(VLOOKUP(E619,'Data sheet'!$B:$C,2),"")</f>
        <v/>
      </c>
    </row>
    <row r="620" spans="3:6" x14ac:dyDescent="0.25">
      <c r="C620" s="12"/>
      <c r="D620" s="12"/>
      <c r="E620" s="12"/>
      <c r="F620" s="12" t="str">
        <f>IFERROR(VLOOKUP(E620,'Data sheet'!$B:$C,2),"")</f>
        <v/>
      </c>
    </row>
    <row r="621" spans="3:6" x14ac:dyDescent="0.25">
      <c r="C621" s="12"/>
      <c r="D621" s="12"/>
      <c r="E621" s="12"/>
      <c r="F621" s="12" t="str">
        <f>IFERROR(VLOOKUP(E621,'Data sheet'!$B:$C,2),"")</f>
        <v/>
      </c>
    </row>
    <row r="622" spans="3:6" x14ac:dyDescent="0.25">
      <c r="C622" s="12"/>
      <c r="D622" s="12"/>
      <c r="E622" s="12"/>
      <c r="F622" s="12" t="str">
        <f>IFERROR(VLOOKUP(E622,'Data sheet'!$B:$C,2),"")</f>
        <v/>
      </c>
    </row>
    <row r="623" spans="3:6" x14ac:dyDescent="0.25">
      <c r="C623" s="12"/>
      <c r="D623" s="12"/>
      <c r="E623" s="12"/>
      <c r="F623" s="12"/>
    </row>
    <row r="624" spans="3:6" x14ac:dyDescent="0.25">
      <c r="C624" s="12"/>
      <c r="D624" s="12"/>
      <c r="E624" s="12"/>
      <c r="F624" s="12"/>
    </row>
    <row r="625" spans="3:6" x14ac:dyDescent="0.25">
      <c r="C625" s="12"/>
      <c r="D625" s="12"/>
      <c r="E625" s="12"/>
      <c r="F625" s="12"/>
    </row>
    <row r="626" spans="3:6" x14ac:dyDescent="0.25">
      <c r="C626" s="12"/>
      <c r="D626" s="12"/>
      <c r="E626" s="12"/>
      <c r="F626" s="12" t="str">
        <f>IFERROR(VLOOKUP(E626,'Data sheet'!$B:$C,2),"")</f>
        <v/>
      </c>
    </row>
    <row r="627" spans="3:6" x14ac:dyDescent="0.25">
      <c r="C627" s="12"/>
      <c r="D627" s="12"/>
      <c r="E627" s="12"/>
      <c r="F627" s="12" t="str">
        <f>IFERROR(VLOOKUP(E627,'Data sheet'!$B:$C,2),"")</f>
        <v/>
      </c>
    </row>
    <row r="628" spans="3:6" x14ac:dyDescent="0.25">
      <c r="F628" s="12" t="str">
        <f>IFERROR(VLOOKUP(E628,'Data sheet'!$B:$C,2),"")</f>
        <v/>
      </c>
    </row>
    <row r="629" spans="3:6" x14ac:dyDescent="0.25">
      <c r="F629" s="12" t="str">
        <f>IFERROR(VLOOKUP(E629,'Data sheet'!$B:$C,2),"")</f>
        <v/>
      </c>
    </row>
    <row r="630" spans="3:6" x14ac:dyDescent="0.25">
      <c r="F630" s="12" t="str">
        <f>IFERROR(VLOOKUP(E630,'Data sheet'!$B:$C,2),"")</f>
        <v/>
      </c>
    </row>
    <row r="631" spans="3:6" x14ac:dyDescent="0.25">
      <c r="F631" s="12" t="str">
        <f>IFERROR(VLOOKUP(E631,'Data sheet'!$B:$C,2),"")</f>
        <v/>
      </c>
    </row>
    <row r="632" spans="3:6" x14ac:dyDescent="0.25">
      <c r="F632" s="12" t="str">
        <f>IFERROR(VLOOKUP(E632,'Data sheet'!$B:$C,2),"")</f>
        <v/>
      </c>
    </row>
    <row r="633" spans="3:6" x14ac:dyDescent="0.25">
      <c r="F633" s="12" t="str">
        <f>IFERROR(VLOOKUP(E633,'Data sheet'!$B:$C,2),"")</f>
        <v/>
      </c>
    </row>
    <row r="634" spans="3:6" x14ac:dyDescent="0.25">
      <c r="F634" s="12" t="str">
        <f>IFERROR(VLOOKUP(E634,'Data sheet'!$B:$C,2),"")</f>
        <v/>
      </c>
    </row>
    <row r="635" spans="3:6" x14ac:dyDescent="0.25">
      <c r="F635" s="12" t="str">
        <f>IFERROR(VLOOKUP(E635,'Data sheet'!$B:$C,2),"")</f>
        <v/>
      </c>
    </row>
    <row r="636" spans="3:6" x14ac:dyDescent="0.25">
      <c r="F636" s="12" t="str">
        <f>IFERROR(VLOOKUP(E636,'Data sheet'!$B:$C,2),"")</f>
        <v/>
      </c>
    </row>
    <row r="637" spans="3:6" x14ac:dyDescent="0.25">
      <c r="F637" s="12" t="str">
        <f>IFERROR(VLOOKUP(E637,'Data sheet'!$B:$C,2),"")</f>
        <v/>
      </c>
    </row>
    <row r="638" spans="3:6" x14ac:dyDescent="0.25">
      <c r="F638" s="12" t="str">
        <f>IFERROR(VLOOKUP(E638,'Data sheet'!$B:$C,2),"")</f>
        <v/>
      </c>
    </row>
    <row r="639" spans="3:6" x14ac:dyDescent="0.25">
      <c r="F639" s="12" t="str">
        <f>IFERROR(VLOOKUP(E639,'Data sheet'!$B:$C,2),"")</f>
        <v/>
      </c>
    </row>
    <row r="640" spans="3:6" x14ac:dyDescent="0.25">
      <c r="F640" s="12" t="str">
        <f>IFERROR(VLOOKUP(E640,'Data sheet'!$B:$C,2),"")</f>
        <v/>
      </c>
    </row>
    <row r="641" spans="6:6" x14ac:dyDescent="0.25">
      <c r="F641" s="12" t="str">
        <f>IFERROR(VLOOKUP(E641,'Data sheet'!$B:$C,2),"")</f>
        <v/>
      </c>
    </row>
    <row r="642" spans="6:6" x14ac:dyDescent="0.25">
      <c r="F642" s="12" t="str">
        <f>IFERROR(VLOOKUP(E642,'Data sheet'!$B:$C,2),"")</f>
        <v/>
      </c>
    </row>
    <row r="643" spans="6:6" x14ac:dyDescent="0.25">
      <c r="F643" s="12" t="str">
        <f>IFERROR(VLOOKUP(E643,'Data sheet'!$B:$C,2),"")</f>
        <v/>
      </c>
    </row>
    <row r="644" spans="6:6" x14ac:dyDescent="0.25">
      <c r="F644" s="12" t="str">
        <f>IFERROR(VLOOKUP(E644,'Data sheet'!$B:$C,2),"")</f>
        <v/>
      </c>
    </row>
    <row r="645" spans="6:6" x14ac:dyDescent="0.25">
      <c r="F645" s="12" t="str">
        <f>IFERROR(VLOOKUP(E645,'Data sheet'!$B:$C,2),"")</f>
        <v/>
      </c>
    </row>
    <row r="646" spans="6:6" x14ac:dyDescent="0.25">
      <c r="F646" s="12" t="str">
        <f>IFERROR(VLOOKUP(E646,'Data sheet'!$B:$C,2),"")</f>
        <v/>
      </c>
    </row>
    <row r="647" spans="6:6" x14ac:dyDescent="0.25">
      <c r="F647" s="12" t="str">
        <f>IFERROR(VLOOKUP(E647,'Data sheet'!$B:$C,2),"")</f>
        <v/>
      </c>
    </row>
    <row r="648" spans="6:6" x14ac:dyDescent="0.25">
      <c r="F648" s="12" t="str">
        <f>IFERROR(VLOOKUP(E648,'Data sheet'!$B:$C,2),"")</f>
        <v/>
      </c>
    </row>
    <row r="649" spans="6:6" x14ac:dyDescent="0.25">
      <c r="F649" s="12" t="str">
        <f>IFERROR(VLOOKUP(E649,'Data sheet'!$B:$C,2),"")</f>
        <v/>
      </c>
    </row>
    <row r="650" spans="6:6" x14ac:dyDescent="0.25">
      <c r="F650" s="12" t="str">
        <f>IFERROR(VLOOKUP(E650,'Data sheet'!$B:$C,2),"")</f>
        <v/>
      </c>
    </row>
    <row r="651" spans="6:6" x14ac:dyDescent="0.25">
      <c r="F651" s="12" t="str">
        <f>IFERROR(VLOOKUP(E651,'Data sheet'!$B:$C,2),"")</f>
        <v/>
      </c>
    </row>
    <row r="652" spans="6:6" x14ac:dyDescent="0.25">
      <c r="F652" s="12" t="str">
        <f>IFERROR(VLOOKUP(E652,'Data sheet'!$B:$C,2),"")</f>
        <v/>
      </c>
    </row>
    <row r="653" spans="6:6" x14ac:dyDescent="0.25">
      <c r="F653" s="12" t="str">
        <f>IFERROR(VLOOKUP(E653,'Data sheet'!$B:$C,2),"")</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1048572" spans="5:5" x14ac:dyDescent="0.25">
      <c r="E1048572" s="12"/>
    </row>
  </sheetData>
  <autoFilter ref="A1:H604">
    <sortState ref="A2:H604">
      <sortCondition ref="A1:A604"/>
    </sortState>
  </autoFilter>
  <sortState ref="A3:H29">
    <sortCondition ref="A3"/>
  </sortState>
  <dataConsolidate/>
  <customSheetViews>
    <customSheetView guid="{0459E885-E56D-4233-A463-CDACB82F3A71}" scale="90" showAutoFilter="1">
      <selection activeCell="E14" sqref="E14"/>
      <pageMargins left="0.7" right="0.7" top="0.75" bottom="0.75" header="0.3" footer="0.3"/>
      <pageSetup orientation="portrait" r:id="rId1"/>
      <autoFilter ref="A1:H604">
        <sortState ref="A2:H604">
          <sortCondition ref="A1:A604"/>
        </sortState>
      </autoFilter>
    </customSheetView>
    <customSheetView guid="{D31A0C38-2BF3-428E-8B63-7EF803410846}">
      <selection activeCell="A2" sqref="A2:H51"/>
      <pageMargins left="0.7" right="0.7" top="0.75" bottom="0.75" header="0.3" footer="0.3"/>
      <pageSetup orientation="portrait" r:id="rId2"/>
    </customSheetView>
    <customSheetView guid="{39AFBFEA-9E3B-4D39-9A52-E97212B04C3B}">
      <selection activeCell="A24" sqref="A24"/>
      <pageMargins left="0.7" right="0.7" top="0.75" bottom="0.75" header="0.3" footer="0.3"/>
      <pageSetup orientation="portrait" r:id="rId3"/>
    </customSheetView>
    <customSheetView guid="{5E4851DA-2CDD-4E0B-A9F2-CF05D4206F60}" topLeftCell="A25">
      <selection activeCell="A45" sqref="A45:A47"/>
      <pageMargins left="0.7" right="0.7" top="0.75" bottom="0.75" header="0.3" footer="0.3"/>
      <pageSetup orientation="portrait" r:id="rId4"/>
    </customSheetView>
    <customSheetView guid="{CAAB4857-130C-45CF-BDB7-F4543166DC3F}">
      <selection activeCell="A14" sqref="A14:XFD14"/>
      <pageMargins left="0.7" right="0.7" top="0.75" bottom="0.75" header="0.3" footer="0.3"/>
      <pageSetup orientation="portrait" r:id="rId5"/>
    </customSheetView>
    <customSheetView guid="{E72D1D85-DDEA-47FF-9C0A-B8A16DD802DE}" scale="90" showAutoFilter="1">
      <selection activeCell="E14" sqref="E14"/>
      <pageMargins left="0.7" right="0.7" top="0.75" bottom="0.75" header="0.3" footer="0.3"/>
      <pageSetup orientation="portrait" r:id="rId6"/>
      <autoFilter ref="A1:H604">
        <sortState ref="A2:H604">
          <sortCondition ref="A1:A604"/>
        </sortState>
      </autoFilter>
    </customSheetView>
  </customSheetViews>
  <dataValidations count="3">
    <dataValidation type="list" allowBlank="1" showInputMessage="1" showErrorMessage="1" sqref="F34 E2:E33 F44 E35:E43 E45:E627">
      <formula1>IF(C2="MISC","",INDIRECT(C2))</formula1>
    </dataValidation>
    <dataValidation type="list" allowBlank="1" showInputMessage="1" showErrorMessage="1" sqref="E34 D2:D33 E44 D35:D43 D45:D627">
      <formula1>IF(C2="Status Meeting",INDIRECT(C2),(IF(C2="MISC",INDIRECT(C2),INDIRECT("ProjectPhase"))))</formula1>
    </dataValidation>
    <dataValidation type="list" allowBlank="1" showInputMessage="1" showErrorMessage="1" sqref="D34 C2:C33 D44 C35:C43 C45:C627">
      <formula1>Activity</formula1>
    </dataValidation>
  </dataValidations>
  <pageMargins left="0.7" right="0.7" top="0.75" bottom="0.75" header="0.3" footer="0.3"/>
  <pageSetup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731"/>
  <sheetViews>
    <sheetView topLeftCell="A59" zoomScale="90" zoomScaleNormal="90" workbookViewId="0">
      <selection activeCell="I80" sqref="I80"/>
    </sheetView>
  </sheetViews>
  <sheetFormatPr defaultRowHeight="15" x14ac:dyDescent="0.25"/>
  <cols>
    <col min="1" max="1" width="10.7109375" style="12" bestFit="1" customWidth="1"/>
    <col min="2" max="2" width="13" style="12"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2.7109375" style="12" bestFit="1" customWidth="1"/>
    <col min="9" max="25" width="9.140625" style="12"/>
    <col min="26" max="26" width="18.28515625" style="12" customWidth="1"/>
    <col min="27" max="27" width="71.5703125" style="12" bestFit="1" customWidth="1"/>
    <col min="28" max="28" width="10.28515625" style="12" bestFit="1" customWidth="1"/>
    <col min="29" max="29" width="20.42578125" style="12" bestFit="1" customWidth="1"/>
    <col min="30" max="16384" width="9.140625" style="12"/>
  </cols>
  <sheetData>
    <row r="1" spans="1:30" ht="15.75" thickBot="1" x14ac:dyDescent="0.3">
      <c r="A1" s="18" t="s">
        <v>0</v>
      </c>
      <c r="B1" s="19" t="s">
        <v>1</v>
      </c>
      <c r="C1" s="20" t="s">
        <v>2</v>
      </c>
      <c r="D1" s="53" t="s">
        <v>4</v>
      </c>
      <c r="E1" s="53" t="s">
        <v>3</v>
      </c>
      <c r="F1" s="53" t="s">
        <v>5</v>
      </c>
      <c r="G1" s="54" t="s">
        <v>6</v>
      </c>
      <c r="H1" s="19" t="s">
        <v>7</v>
      </c>
      <c r="Z1" s="7" t="s">
        <v>2</v>
      </c>
      <c r="AA1" s="7" t="s">
        <v>3</v>
      </c>
      <c r="AB1" s="7" t="s">
        <v>5</v>
      </c>
      <c r="AC1" s="17" t="s">
        <v>68</v>
      </c>
      <c r="AD1" s="7" t="s">
        <v>14</v>
      </c>
    </row>
    <row r="2" spans="1:30" hidden="1" x14ac:dyDescent="0.25">
      <c r="A2" s="49"/>
      <c r="B2" s="49"/>
      <c r="C2" s="12" t="s">
        <v>8</v>
      </c>
      <c r="D2" s="12" t="s">
        <v>75</v>
      </c>
      <c r="E2" s="23" t="s">
        <v>141</v>
      </c>
      <c r="F2" s="49"/>
      <c r="G2" s="49"/>
      <c r="H2" s="49"/>
      <c r="Z2" s="7"/>
      <c r="AA2" s="7"/>
      <c r="AB2" s="50"/>
      <c r="AC2" s="51"/>
      <c r="AD2" s="52"/>
    </row>
    <row r="3" spans="1:30" s="46" customFormat="1" x14ac:dyDescent="0.25">
      <c r="A3" s="23"/>
      <c r="B3" s="23"/>
      <c r="E3" s="23"/>
      <c r="F3" s="23"/>
      <c r="G3" s="23"/>
      <c r="H3" s="23"/>
      <c r="Z3" s="24"/>
      <c r="AA3" s="24"/>
      <c r="AB3" s="75"/>
      <c r="AC3" s="76"/>
      <c r="AD3" s="77"/>
    </row>
    <row r="4" spans="1:30" x14ac:dyDescent="0.25">
      <c r="A4" s="37"/>
      <c r="B4" s="23"/>
      <c r="F4" s="8"/>
      <c r="G4" s="23"/>
      <c r="H4" s="23"/>
      <c r="Z4" s="13" t="s">
        <v>8</v>
      </c>
      <c r="AA4" s="13" t="s">
        <v>15</v>
      </c>
      <c r="AB4" s="16" t="s">
        <v>63</v>
      </c>
      <c r="AC4" s="16" t="s">
        <v>69</v>
      </c>
      <c r="AD4" s="9" t="s">
        <v>58</v>
      </c>
    </row>
    <row r="5" spans="1:30" x14ac:dyDescent="0.25">
      <c r="A5" s="37"/>
      <c r="B5" s="23"/>
      <c r="F5" s="8"/>
      <c r="G5" s="23"/>
      <c r="H5" s="23"/>
      <c r="Z5" s="13"/>
      <c r="AA5" s="13"/>
      <c r="AB5" s="16"/>
      <c r="AC5" s="16"/>
      <c r="AD5" s="9"/>
    </row>
    <row r="6" spans="1:30" x14ac:dyDescent="0.25">
      <c r="A6" s="37"/>
      <c r="B6" s="23"/>
      <c r="F6" s="23"/>
      <c r="G6" s="23"/>
      <c r="H6" s="23"/>
      <c r="Z6" s="13"/>
      <c r="AA6" s="13"/>
      <c r="AB6" s="16"/>
      <c r="AC6" s="16"/>
      <c r="AD6" s="9"/>
    </row>
    <row r="7" spans="1:30" x14ac:dyDescent="0.25">
      <c r="A7" s="37"/>
      <c r="B7" s="23"/>
      <c r="F7" s="23"/>
      <c r="G7" s="23"/>
      <c r="Z7" s="13"/>
      <c r="AA7" s="13"/>
      <c r="AB7" s="16"/>
      <c r="AC7" s="16"/>
      <c r="AD7" s="9"/>
    </row>
    <row r="8" spans="1:30" x14ac:dyDescent="0.25">
      <c r="A8" s="37"/>
      <c r="B8" s="23"/>
      <c r="F8" s="23"/>
      <c r="G8" s="23"/>
      <c r="H8" s="23"/>
      <c r="Z8" s="13"/>
      <c r="AA8" s="13"/>
      <c r="AB8" s="16"/>
      <c r="AC8" s="16"/>
      <c r="AD8" s="9"/>
    </row>
    <row r="9" spans="1:30" x14ac:dyDescent="0.25">
      <c r="A9" s="37"/>
      <c r="B9" s="23"/>
      <c r="F9" s="23"/>
      <c r="G9" s="23"/>
      <c r="H9" s="23"/>
      <c r="Z9" s="13" t="s">
        <v>9</v>
      </c>
      <c r="AA9" s="13" t="s">
        <v>16</v>
      </c>
      <c r="AB9" s="16" t="s">
        <v>63</v>
      </c>
      <c r="AC9" s="16" t="s">
        <v>70</v>
      </c>
      <c r="AD9" s="9" t="s">
        <v>59</v>
      </c>
    </row>
    <row r="10" spans="1:30" x14ac:dyDescent="0.25">
      <c r="A10" s="37"/>
      <c r="B10" s="23"/>
      <c r="G10" s="23"/>
      <c r="H10" s="23"/>
      <c r="Z10" s="13"/>
      <c r="AA10" s="13"/>
      <c r="AB10" s="16"/>
      <c r="AC10" s="16"/>
      <c r="AD10" s="9"/>
    </row>
    <row r="11" spans="1:30" x14ac:dyDescent="0.25">
      <c r="A11" s="37"/>
      <c r="B11" s="23"/>
      <c r="F11" s="23"/>
      <c r="G11" s="23"/>
      <c r="H11" s="23"/>
      <c r="Z11" s="13" t="s">
        <v>10</v>
      </c>
      <c r="AA11" s="13" t="s">
        <v>17</v>
      </c>
      <c r="AB11" s="16" t="s">
        <v>63</v>
      </c>
      <c r="AC11" s="16" t="s">
        <v>71</v>
      </c>
      <c r="AD11" s="9" t="s">
        <v>60</v>
      </c>
    </row>
    <row r="12" spans="1:30" x14ac:dyDescent="0.25">
      <c r="A12" s="37"/>
      <c r="B12" s="23"/>
      <c r="C12" s="23"/>
      <c r="D12" s="23"/>
      <c r="F12" s="23"/>
      <c r="G12" s="23"/>
      <c r="H12" s="23"/>
      <c r="Z12" s="13" t="s">
        <v>12</v>
      </c>
      <c r="AA12" s="13" t="s">
        <v>18</v>
      </c>
      <c r="AB12" s="16" t="s">
        <v>63</v>
      </c>
      <c r="AC12" s="16" t="s">
        <v>72</v>
      </c>
      <c r="AD12" s="9" t="s">
        <v>61</v>
      </c>
    </row>
    <row r="13" spans="1:30" x14ac:dyDescent="0.25">
      <c r="A13" s="37"/>
      <c r="B13" s="23"/>
      <c r="D13" s="23"/>
      <c r="E13" s="23"/>
      <c r="F13" s="23"/>
      <c r="G13" s="23"/>
      <c r="H13" s="23"/>
      <c r="Z13" s="13" t="s">
        <v>13</v>
      </c>
      <c r="AA13" s="13" t="s">
        <v>19</v>
      </c>
      <c r="AB13" s="16" t="s">
        <v>64</v>
      </c>
      <c r="AC13" s="16" t="s">
        <v>73</v>
      </c>
      <c r="AD13" s="9" t="s">
        <v>11</v>
      </c>
    </row>
    <row r="14" spans="1:30" x14ac:dyDescent="0.25">
      <c r="A14" s="37"/>
      <c r="B14" s="23"/>
      <c r="F14" s="23"/>
      <c r="G14" s="23"/>
      <c r="H14" s="23"/>
      <c r="Z14" s="13" t="s">
        <v>14</v>
      </c>
      <c r="AA14" s="13" t="s">
        <v>20</v>
      </c>
      <c r="AB14" s="16" t="s">
        <v>65</v>
      </c>
      <c r="AC14" s="16" t="s">
        <v>74</v>
      </c>
      <c r="AD14" s="9" t="s">
        <v>62</v>
      </c>
    </row>
    <row r="15" spans="1:30" x14ac:dyDescent="0.25">
      <c r="A15" s="37"/>
      <c r="B15" s="23"/>
      <c r="F15" s="23"/>
      <c r="G15" s="23"/>
      <c r="AA15" s="13" t="s">
        <v>21</v>
      </c>
      <c r="AB15" s="16" t="s">
        <v>64</v>
      </c>
      <c r="AC15" s="16" t="s">
        <v>75</v>
      </c>
    </row>
    <row r="16" spans="1:30" x14ac:dyDescent="0.25">
      <c r="A16" s="37"/>
      <c r="B16" s="23"/>
      <c r="C16" s="23"/>
      <c r="D16" s="23"/>
      <c r="E16" s="23"/>
      <c r="F16" s="23"/>
      <c r="G16" s="23"/>
      <c r="H16" s="23"/>
      <c r="AA16" s="13" t="s">
        <v>22</v>
      </c>
      <c r="AB16" s="16" t="s">
        <v>64</v>
      </c>
      <c r="AC16" s="16" t="s">
        <v>76</v>
      </c>
    </row>
    <row r="17" spans="1:29" x14ac:dyDescent="0.25">
      <c r="A17" s="37"/>
      <c r="B17" s="23"/>
      <c r="C17" s="23"/>
      <c r="D17" s="23"/>
      <c r="E17" s="23"/>
      <c r="F17" s="23"/>
      <c r="G17" s="23"/>
      <c r="H17" s="23"/>
      <c r="AA17" s="13" t="s">
        <v>23</v>
      </c>
      <c r="AB17" s="16" t="s">
        <v>65</v>
      </c>
      <c r="AC17" s="16" t="s">
        <v>77</v>
      </c>
    </row>
    <row r="18" spans="1:29" x14ac:dyDescent="0.25">
      <c r="A18" s="37"/>
      <c r="B18" s="23"/>
      <c r="C18" s="23"/>
      <c r="D18" s="23"/>
      <c r="F18" s="23"/>
      <c r="G18" s="23"/>
      <c r="H18" s="23"/>
      <c r="AA18" s="13" t="s">
        <v>25</v>
      </c>
      <c r="AB18" s="13" t="s">
        <v>66</v>
      </c>
      <c r="AC18" s="8"/>
    </row>
    <row r="19" spans="1:29" x14ac:dyDescent="0.25">
      <c r="A19" s="37"/>
      <c r="B19" s="23"/>
      <c r="E19" s="8"/>
      <c r="F19" s="23"/>
      <c r="G19" s="23"/>
      <c r="H19" s="23"/>
      <c r="AA19" s="13" t="s">
        <v>26</v>
      </c>
      <c r="AB19" s="13" t="s">
        <v>65</v>
      </c>
      <c r="AC19" s="8"/>
    </row>
    <row r="20" spans="1:29" x14ac:dyDescent="0.25">
      <c r="A20" s="37"/>
      <c r="B20" s="23"/>
      <c r="F20" s="23"/>
      <c r="G20" s="23"/>
      <c r="AA20" s="13" t="s">
        <v>27</v>
      </c>
      <c r="AB20" s="13" t="s">
        <v>64</v>
      </c>
      <c r="AC20" s="8"/>
    </row>
    <row r="21" spans="1:29" x14ac:dyDescent="0.25">
      <c r="A21" s="37"/>
      <c r="G21" s="23"/>
      <c r="K21" s="8"/>
      <c r="AA21" s="13" t="s">
        <v>28</v>
      </c>
      <c r="AB21" s="13" t="s">
        <v>63</v>
      </c>
      <c r="AC21" s="8"/>
    </row>
    <row r="22" spans="1:29" x14ac:dyDescent="0.25">
      <c r="A22" s="37"/>
      <c r="B22" s="23"/>
      <c r="C22" s="23"/>
      <c r="D22" s="23"/>
      <c r="E22" s="23"/>
      <c r="F22" s="23"/>
      <c r="G22" s="23"/>
      <c r="H22" s="23"/>
      <c r="AA22" s="13" t="s">
        <v>29</v>
      </c>
      <c r="AB22" s="13" t="s">
        <v>65</v>
      </c>
      <c r="AC22" s="8"/>
    </row>
    <row r="23" spans="1:29" x14ac:dyDescent="0.25">
      <c r="A23" s="37"/>
      <c r="B23" s="23"/>
      <c r="E23" s="8"/>
      <c r="F23" s="23"/>
      <c r="G23" s="23"/>
      <c r="H23" s="23"/>
      <c r="AA23" s="13" t="s">
        <v>30</v>
      </c>
      <c r="AB23" s="13" t="s">
        <v>64</v>
      </c>
      <c r="AC23" s="8"/>
    </row>
    <row r="24" spans="1:29" x14ac:dyDescent="0.25">
      <c r="A24" s="37"/>
      <c r="B24" s="23"/>
      <c r="F24" s="61"/>
      <c r="H24" s="61"/>
      <c r="AA24" s="13" t="s">
        <v>31</v>
      </c>
      <c r="AB24" s="13" t="s">
        <v>63</v>
      </c>
      <c r="AC24" s="8"/>
    </row>
    <row r="25" spans="1:29" x14ac:dyDescent="0.25">
      <c r="A25" s="37"/>
      <c r="B25" s="23"/>
      <c r="E25" s="8"/>
      <c r="F25" s="23"/>
      <c r="G25" s="23"/>
      <c r="H25" s="23"/>
      <c r="AA25" s="13" t="s">
        <v>32</v>
      </c>
      <c r="AB25" s="13" t="s">
        <v>64</v>
      </c>
      <c r="AC25" s="8"/>
    </row>
    <row r="26" spans="1:29" x14ac:dyDescent="0.25">
      <c r="A26" s="37"/>
      <c r="B26" s="23"/>
      <c r="C26" s="23"/>
      <c r="E26" s="23"/>
      <c r="F26" s="23"/>
      <c r="G26" s="23"/>
      <c r="H26" s="23"/>
      <c r="AA26" s="13" t="s">
        <v>33</v>
      </c>
      <c r="AB26" s="13" t="s">
        <v>63</v>
      </c>
      <c r="AC26" s="8"/>
    </row>
    <row r="27" spans="1:29" x14ac:dyDescent="0.25">
      <c r="A27" s="37"/>
      <c r="B27" s="23"/>
      <c r="F27" s="23"/>
      <c r="G27" s="23"/>
      <c r="H27" s="23"/>
      <c r="AA27" s="13" t="s">
        <v>35</v>
      </c>
      <c r="AB27" s="13" t="s">
        <v>65</v>
      </c>
      <c r="AC27" s="8"/>
    </row>
    <row r="28" spans="1:29" x14ac:dyDescent="0.25">
      <c r="A28" s="37"/>
      <c r="B28" s="23"/>
      <c r="C28" s="23"/>
      <c r="F28" s="23"/>
      <c r="G28" s="23"/>
      <c r="H28" s="23"/>
      <c r="AA28" s="13" t="s">
        <v>36</v>
      </c>
      <c r="AB28" s="13" t="s">
        <v>64</v>
      </c>
      <c r="AC28" s="8"/>
    </row>
    <row r="29" spans="1:29" x14ac:dyDescent="0.25">
      <c r="A29" s="37"/>
      <c r="B29" s="23"/>
      <c r="E29" s="8"/>
      <c r="F29" s="23"/>
      <c r="G29" s="23"/>
      <c r="H29" s="23"/>
      <c r="AA29" s="13" t="s">
        <v>37</v>
      </c>
      <c r="AB29" s="13" t="s">
        <v>66</v>
      </c>
      <c r="AC29" s="8"/>
    </row>
    <row r="30" spans="1:29" x14ac:dyDescent="0.25">
      <c r="A30" s="37"/>
      <c r="B30" s="23"/>
      <c r="F30" s="61"/>
      <c r="H30" s="61"/>
      <c r="AA30" s="13" t="s">
        <v>38</v>
      </c>
      <c r="AB30" s="13" t="s">
        <v>67</v>
      </c>
      <c r="AC30" s="8"/>
    </row>
    <row r="31" spans="1:29" x14ac:dyDescent="0.25">
      <c r="A31" s="37"/>
      <c r="B31" s="23"/>
      <c r="C31" s="23"/>
      <c r="F31" s="23"/>
      <c r="G31" s="23"/>
      <c r="H31" s="23"/>
      <c r="AA31" s="13" t="s">
        <v>40</v>
      </c>
      <c r="AB31" s="13" t="s">
        <v>64</v>
      </c>
      <c r="AC31" s="8"/>
    </row>
    <row r="32" spans="1:29" x14ac:dyDescent="0.25">
      <c r="A32" s="37"/>
      <c r="B32" s="23"/>
      <c r="C32" s="23"/>
      <c r="D32" s="23"/>
      <c r="E32" s="23"/>
      <c r="F32" s="23"/>
      <c r="G32" s="23"/>
      <c r="H32" s="23"/>
      <c r="AA32" s="13" t="s">
        <v>41</v>
      </c>
      <c r="AB32" s="13" t="s">
        <v>67</v>
      </c>
      <c r="AC32" s="8"/>
    </row>
    <row r="33" spans="1:29" x14ac:dyDescent="0.25">
      <c r="A33" s="37"/>
      <c r="B33" s="23"/>
      <c r="E33" s="8"/>
      <c r="F33" s="23"/>
      <c r="G33" s="23"/>
      <c r="H33" s="23"/>
      <c r="AA33" s="13" t="s">
        <v>42</v>
      </c>
      <c r="AB33" s="13" t="s">
        <v>66</v>
      </c>
      <c r="AC33" s="8"/>
    </row>
    <row r="34" spans="1:29" x14ac:dyDescent="0.25">
      <c r="A34" s="37"/>
      <c r="B34" s="23"/>
      <c r="F34" s="23"/>
      <c r="G34" s="23"/>
      <c r="H34" s="23"/>
      <c r="AA34" s="14" t="s">
        <v>43</v>
      </c>
      <c r="AB34" s="13" t="s">
        <v>64</v>
      </c>
      <c r="AC34" s="8"/>
    </row>
    <row r="35" spans="1:29" x14ac:dyDescent="0.25">
      <c r="A35" s="37"/>
      <c r="B35" s="23"/>
      <c r="F35" s="23"/>
      <c r="G35" s="23"/>
      <c r="H35" s="23"/>
      <c r="AA35" s="15" t="s">
        <v>44</v>
      </c>
      <c r="AB35" s="13" t="s">
        <v>64</v>
      </c>
      <c r="AC35" s="8"/>
    </row>
    <row r="36" spans="1:29" x14ac:dyDescent="0.25">
      <c r="A36" s="37"/>
      <c r="B36" s="23"/>
      <c r="C36" s="23"/>
      <c r="E36" s="23"/>
      <c r="F36" s="23"/>
      <c r="G36" s="23"/>
      <c r="H36" s="23"/>
      <c r="AA36" s="14" t="s">
        <v>45</v>
      </c>
      <c r="AB36" s="13" t="s">
        <v>64</v>
      </c>
      <c r="AC36" s="8"/>
    </row>
    <row r="37" spans="1:29" x14ac:dyDescent="0.25">
      <c r="A37" s="37"/>
      <c r="B37" s="23"/>
      <c r="F37" s="61"/>
      <c r="H37" s="61"/>
      <c r="AA37" s="15" t="s">
        <v>46</v>
      </c>
      <c r="AB37" s="13" t="s">
        <v>64</v>
      </c>
      <c r="AC37" s="8"/>
    </row>
    <row r="38" spans="1:29" x14ac:dyDescent="0.25">
      <c r="A38" s="37"/>
      <c r="B38" s="23"/>
      <c r="F38" s="23"/>
      <c r="G38" s="23"/>
      <c r="H38" s="61"/>
      <c r="AA38" s="14" t="s">
        <v>47</v>
      </c>
      <c r="AB38" s="13" t="s">
        <v>64</v>
      </c>
      <c r="AC38" s="8"/>
    </row>
    <row r="39" spans="1:29" x14ac:dyDescent="0.25">
      <c r="A39" s="37"/>
      <c r="B39" s="23"/>
      <c r="F39" s="23"/>
      <c r="G39" s="23"/>
      <c r="H39" s="61"/>
      <c r="AA39" s="15" t="s">
        <v>48</v>
      </c>
      <c r="AB39" s="13" t="s">
        <v>64</v>
      </c>
      <c r="AC39" s="8"/>
    </row>
    <row r="40" spans="1:29" x14ac:dyDescent="0.25">
      <c r="A40" s="37"/>
      <c r="B40" s="23"/>
      <c r="G40" s="23"/>
      <c r="H40" s="23"/>
      <c r="AA40" s="14" t="s">
        <v>49</v>
      </c>
      <c r="AB40" s="13" t="s">
        <v>67</v>
      </c>
      <c r="AC40" s="8"/>
    </row>
    <row r="41" spans="1:29" x14ac:dyDescent="0.25">
      <c r="A41" s="37"/>
      <c r="B41" s="23"/>
      <c r="G41" s="23"/>
      <c r="H41" s="23"/>
      <c r="AA41" s="15" t="s">
        <v>50</v>
      </c>
      <c r="AB41" s="13" t="s">
        <v>66</v>
      </c>
      <c r="AC41" s="8"/>
    </row>
    <row r="42" spans="1:29" x14ac:dyDescent="0.25">
      <c r="A42" s="37"/>
      <c r="B42" s="23"/>
      <c r="F42" s="61"/>
      <c r="H42" s="61"/>
      <c r="AA42" s="1" t="s">
        <v>52</v>
      </c>
      <c r="AB42" s="13" t="s">
        <v>63</v>
      </c>
      <c r="AC42" s="8"/>
    </row>
    <row r="43" spans="1:29" x14ac:dyDescent="0.25">
      <c r="A43" s="37"/>
      <c r="B43" s="23"/>
      <c r="F43" s="23"/>
      <c r="G43" s="23"/>
      <c r="H43" s="61"/>
      <c r="AA43" s="6" t="s">
        <v>53</v>
      </c>
      <c r="AB43" s="13" t="s">
        <v>63</v>
      </c>
      <c r="AC43" s="8"/>
    </row>
    <row r="44" spans="1:29" x14ac:dyDescent="0.25">
      <c r="A44" s="37"/>
      <c r="B44" s="23"/>
      <c r="F44" s="23"/>
      <c r="G44" s="23"/>
      <c r="H44" s="23"/>
      <c r="AA44" s="6" t="s">
        <v>54</v>
      </c>
      <c r="AB44" s="13" t="s">
        <v>65</v>
      </c>
      <c r="AC44" s="8"/>
    </row>
    <row r="45" spans="1:29" x14ac:dyDescent="0.25">
      <c r="A45" s="37"/>
      <c r="B45" s="23"/>
      <c r="F45" s="61"/>
      <c r="G45" s="23"/>
      <c r="H45" s="23"/>
      <c r="AA45" s="13" t="s">
        <v>55</v>
      </c>
      <c r="AB45" s="13" t="s">
        <v>64</v>
      </c>
      <c r="AC45" s="8"/>
    </row>
    <row r="46" spans="1:29" x14ac:dyDescent="0.25">
      <c r="A46" s="37"/>
      <c r="B46" s="23"/>
      <c r="C46" s="23"/>
      <c r="F46" s="23"/>
      <c r="G46" s="23"/>
      <c r="H46" s="61"/>
      <c r="AA46" s="13" t="s">
        <v>56</v>
      </c>
      <c r="AB46" s="13" t="s">
        <v>67</v>
      </c>
      <c r="AC46" s="8"/>
    </row>
    <row r="47" spans="1:29" x14ac:dyDescent="0.25">
      <c r="A47" s="37"/>
      <c r="B47" s="23"/>
      <c r="C47" s="23"/>
      <c r="D47" s="23"/>
      <c r="E47" s="23"/>
      <c r="F47" s="23"/>
      <c r="G47" s="23"/>
      <c r="H47" s="23"/>
      <c r="AA47" s="13" t="s">
        <v>40</v>
      </c>
      <c r="AB47" s="13" t="s">
        <v>64</v>
      </c>
      <c r="AC47" s="8"/>
    </row>
    <row r="48" spans="1:29" x14ac:dyDescent="0.25">
      <c r="A48" s="37"/>
      <c r="B48" s="23"/>
      <c r="F48" s="8"/>
      <c r="G48" s="23"/>
      <c r="H48" s="23"/>
      <c r="AA48" s="13" t="s">
        <v>57</v>
      </c>
      <c r="AB48" s="13" t="s">
        <v>64</v>
      </c>
      <c r="AC48" s="8"/>
    </row>
    <row r="49" spans="1:8" x14ac:dyDescent="0.25">
      <c r="A49" s="37"/>
      <c r="B49" s="23"/>
      <c r="F49" s="23"/>
      <c r="G49" s="23"/>
      <c r="H49" s="23"/>
    </row>
    <row r="50" spans="1:8" x14ac:dyDescent="0.25">
      <c r="A50" s="37"/>
      <c r="B50" s="23"/>
      <c r="F50" s="23"/>
      <c r="G50" s="23"/>
    </row>
    <row r="51" spans="1:8" x14ac:dyDescent="0.25">
      <c r="A51" s="37"/>
      <c r="B51" s="23"/>
      <c r="F51" s="61"/>
      <c r="H51" s="61"/>
    </row>
    <row r="52" spans="1:8" x14ac:dyDescent="0.25">
      <c r="A52" s="37"/>
      <c r="B52" s="23"/>
      <c r="F52" s="61"/>
      <c r="G52" s="23"/>
      <c r="H52" s="62"/>
    </row>
    <row r="53" spans="1:8" x14ac:dyDescent="0.25">
      <c r="A53" s="37"/>
      <c r="B53" s="23"/>
      <c r="F53" s="61"/>
      <c r="G53" s="23"/>
      <c r="H53" s="62"/>
    </row>
    <row r="54" spans="1:8" x14ac:dyDescent="0.25">
      <c r="A54" s="37"/>
      <c r="B54" s="23"/>
      <c r="G54" s="23"/>
      <c r="H54" s="37"/>
    </row>
    <row r="55" spans="1:8" x14ac:dyDescent="0.25">
      <c r="A55" s="37"/>
      <c r="B55" s="23"/>
      <c r="G55" s="23"/>
    </row>
    <row r="56" spans="1:8" x14ac:dyDescent="0.25">
      <c r="A56" s="37"/>
      <c r="B56" s="23"/>
      <c r="G56" s="23"/>
    </row>
    <row r="57" spans="1:8" x14ac:dyDescent="0.25">
      <c r="A57" s="37"/>
      <c r="B57" s="23"/>
      <c r="G57" s="23"/>
    </row>
    <row r="58" spans="1:8" x14ac:dyDescent="0.25">
      <c r="A58" s="37"/>
      <c r="B58" s="23"/>
      <c r="G58" s="23"/>
    </row>
    <row r="59" spans="1:8" x14ac:dyDescent="0.25">
      <c r="A59" s="37"/>
      <c r="F59" s="61"/>
      <c r="G59" s="23"/>
      <c r="H59" s="62"/>
    </row>
    <row r="60" spans="1:8" x14ac:dyDescent="0.25">
      <c r="A60" s="37"/>
      <c r="F60" s="61"/>
      <c r="G60" s="23"/>
      <c r="H60" s="62"/>
    </row>
    <row r="61" spans="1:8" x14ac:dyDescent="0.25">
      <c r="A61" s="37"/>
      <c r="G61" s="23"/>
      <c r="H61" s="62"/>
    </row>
    <row r="62" spans="1:8" x14ac:dyDescent="0.25">
      <c r="A62" s="37"/>
      <c r="G62" s="23"/>
    </row>
    <row r="63" spans="1:8" x14ac:dyDescent="0.25">
      <c r="A63" s="37"/>
      <c r="G63" s="23"/>
    </row>
    <row r="64" spans="1:8" x14ac:dyDescent="0.25">
      <c r="A64" s="37"/>
      <c r="G64" s="23"/>
    </row>
    <row r="65" spans="1:8" x14ac:dyDescent="0.25">
      <c r="A65" s="37"/>
      <c r="G65" s="23"/>
    </row>
    <row r="66" spans="1:8" x14ac:dyDescent="0.25">
      <c r="A66" s="37"/>
      <c r="G66" s="23"/>
    </row>
    <row r="67" spans="1:8" x14ac:dyDescent="0.25">
      <c r="A67" s="37"/>
      <c r="G67" s="23"/>
    </row>
    <row r="68" spans="1:8" x14ac:dyDescent="0.25">
      <c r="A68" s="37"/>
      <c r="E68" s="23"/>
      <c r="G68" s="23"/>
      <c r="H68" s="23"/>
    </row>
    <row r="69" spans="1:8" x14ac:dyDescent="0.25">
      <c r="A69" s="37"/>
      <c r="G69" s="23"/>
    </row>
    <row r="70" spans="1:8" x14ac:dyDescent="0.25">
      <c r="A70" s="37"/>
      <c r="G70" s="23"/>
    </row>
    <row r="71" spans="1:8" x14ac:dyDescent="0.25">
      <c r="A71" s="37"/>
      <c r="G71" s="23"/>
      <c r="H71" s="23"/>
    </row>
    <row r="72" spans="1:8" x14ac:dyDescent="0.25">
      <c r="A72" s="37"/>
      <c r="E72" s="23"/>
      <c r="G72" s="23"/>
      <c r="H72" s="23"/>
    </row>
    <row r="73" spans="1:8" x14ac:dyDescent="0.25">
      <c r="A73" s="37"/>
      <c r="G73" s="23"/>
    </row>
    <row r="74" spans="1:8" x14ac:dyDescent="0.25">
      <c r="A74" s="37"/>
      <c r="E74" s="62"/>
      <c r="G74" s="23"/>
      <c r="H74" s="62"/>
    </row>
    <row r="75" spans="1:8" x14ac:dyDescent="0.25">
      <c r="A75" s="37"/>
      <c r="G75" s="23"/>
      <c r="H75" s="62"/>
    </row>
    <row r="76" spans="1:8" x14ac:dyDescent="0.25">
      <c r="A76" s="37"/>
      <c r="G76" s="23"/>
    </row>
    <row r="77" spans="1:8" x14ac:dyDescent="0.25">
      <c r="A77" s="37"/>
      <c r="G77" s="23"/>
    </row>
    <row r="78" spans="1:8" x14ac:dyDescent="0.25">
      <c r="A78" s="37"/>
      <c r="G78" s="23"/>
    </row>
    <row r="79" spans="1:8" x14ac:dyDescent="0.25">
      <c r="A79" s="37"/>
      <c r="F79" s="12" t="str">
        <f>IFERROR(VLOOKUP(E79,'Data sheet'!$B:$C,2,0),"")</f>
        <v/>
      </c>
      <c r="G79" s="23"/>
    </row>
    <row r="80" spans="1:8" x14ac:dyDescent="0.25">
      <c r="A80" s="37">
        <v>42339</v>
      </c>
      <c r="B80" s="12" t="s">
        <v>238</v>
      </c>
      <c r="C80" s="12" t="s">
        <v>14</v>
      </c>
      <c r="D80" s="12" t="s">
        <v>62</v>
      </c>
      <c r="E80" s="12" t="s">
        <v>240</v>
      </c>
      <c r="F80" s="12" t="s">
        <v>65</v>
      </c>
      <c r="G80" s="23">
        <v>2</v>
      </c>
      <c r="H80" s="12" t="s">
        <v>227</v>
      </c>
    </row>
    <row r="81" spans="1:8" x14ac:dyDescent="0.25">
      <c r="A81" s="37">
        <v>42339</v>
      </c>
      <c r="B81" s="12" t="s">
        <v>238</v>
      </c>
      <c r="C81" s="12" t="s">
        <v>8</v>
      </c>
      <c r="D81" s="12" t="s">
        <v>78</v>
      </c>
      <c r="E81" s="12" t="s">
        <v>180</v>
      </c>
      <c r="F81" s="23" t="s">
        <v>63</v>
      </c>
      <c r="G81" s="23">
        <v>1</v>
      </c>
      <c r="H81" s="23" t="s">
        <v>226</v>
      </c>
    </row>
    <row r="82" spans="1:8" x14ac:dyDescent="0.25">
      <c r="A82" s="37">
        <v>42339</v>
      </c>
      <c r="B82" s="12" t="s">
        <v>238</v>
      </c>
      <c r="C82" s="12" t="s">
        <v>8</v>
      </c>
      <c r="D82" s="12" t="s">
        <v>76</v>
      </c>
      <c r="E82" s="12" t="s">
        <v>170</v>
      </c>
      <c r="F82" s="12" t="s">
        <v>215</v>
      </c>
      <c r="G82" s="23">
        <v>2</v>
      </c>
      <c r="H82" s="12" t="s">
        <v>76</v>
      </c>
    </row>
    <row r="83" spans="1:8" x14ac:dyDescent="0.25">
      <c r="A83" s="37">
        <v>42342</v>
      </c>
      <c r="B83" s="12" t="s">
        <v>238</v>
      </c>
      <c r="C83" s="12" t="s">
        <v>8</v>
      </c>
      <c r="D83" s="12" t="s">
        <v>78</v>
      </c>
      <c r="E83" s="12" t="s">
        <v>180</v>
      </c>
      <c r="F83" s="12" t="s">
        <v>65</v>
      </c>
      <c r="G83" s="23">
        <v>2</v>
      </c>
      <c r="H83" s="12" t="s">
        <v>249</v>
      </c>
    </row>
    <row r="84" spans="1:8" x14ac:dyDescent="0.25">
      <c r="F84" s="12" t="str">
        <f>IFERROR(VLOOKUP(E84,'Data sheet'!$B:$C,2,0),"")</f>
        <v/>
      </c>
    </row>
    <row r="85" spans="1:8" x14ac:dyDescent="0.25">
      <c r="A85" s="37">
        <v>42345</v>
      </c>
      <c r="B85" s="12" t="s">
        <v>238</v>
      </c>
      <c r="C85" s="12" t="s">
        <v>8</v>
      </c>
      <c r="D85" s="12" t="s">
        <v>78</v>
      </c>
      <c r="E85" s="12" t="s">
        <v>39</v>
      </c>
      <c r="F85" s="61" t="s">
        <v>219</v>
      </c>
      <c r="G85" s="12">
        <v>1</v>
      </c>
      <c r="H85" s="61" t="s">
        <v>225</v>
      </c>
    </row>
    <row r="86" spans="1:8" x14ac:dyDescent="0.25">
      <c r="A86" s="37">
        <v>42345</v>
      </c>
      <c r="B86" s="12" t="s">
        <v>238</v>
      </c>
      <c r="C86" s="12" t="s">
        <v>14</v>
      </c>
      <c r="D86" s="12" t="s">
        <v>62</v>
      </c>
      <c r="E86" s="12" t="s">
        <v>62</v>
      </c>
      <c r="F86" s="12" t="s">
        <v>65</v>
      </c>
      <c r="G86" s="23">
        <v>1</v>
      </c>
      <c r="H86" s="12" t="s">
        <v>261</v>
      </c>
    </row>
    <row r="87" spans="1:8" x14ac:dyDescent="0.25">
      <c r="A87" s="37">
        <v>42345</v>
      </c>
      <c r="B87" s="12" t="s">
        <v>238</v>
      </c>
      <c r="C87" s="12" t="s">
        <v>14</v>
      </c>
      <c r="D87" s="12" t="s">
        <v>11</v>
      </c>
      <c r="E87" s="12" t="s">
        <v>11</v>
      </c>
      <c r="F87" s="12" t="s">
        <v>239</v>
      </c>
      <c r="G87" s="23">
        <v>1</v>
      </c>
      <c r="H87" s="23" t="s">
        <v>262</v>
      </c>
    </row>
    <row r="88" spans="1:8" x14ac:dyDescent="0.25">
      <c r="A88" s="37">
        <v>42345</v>
      </c>
      <c r="B88" s="12" t="s">
        <v>238</v>
      </c>
      <c r="C88" s="12" t="s">
        <v>13</v>
      </c>
      <c r="D88" s="12" t="s">
        <v>13</v>
      </c>
      <c r="E88" s="12" t="s">
        <v>13</v>
      </c>
      <c r="F88" s="8" t="s">
        <v>63</v>
      </c>
      <c r="G88" s="23">
        <v>1</v>
      </c>
      <c r="H88" s="23" t="s">
        <v>224</v>
      </c>
    </row>
    <row r="89" spans="1:8" x14ac:dyDescent="0.25">
      <c r="A89" s="37">
        <v>42345</v>
      </c>
      <c r="B89" s="12" t="s">
        <v>238</v>
      </c>
      <c r="C89" s="12" t="s">
        <v>14</v>
      </c>
      <c r="D89" s="12" t="s">
        <v>61</v>
      </c>
      <c r="E89" s="23" t="s">
        <v>258</v>
      </c>
      <c r="F89" s="8" t="s">
        <v>64</v>
      </c>
      <c r="G89" s="23">
        <v>0.5</v>
      </c>
      <c r="H89" s="23" t="s">
        <v>258</v>
      </c>
    </row>
    <row r="90" spans="1:8" x14ac:dyDescent="0.25">
      <c r="F90" s="12" t="str">
        <f>IFERROR(VLOOKUP(E90,'Data sheet'!$B:$C,2,0),"")</f>
        <v/>
      </c>
    </row>
    <row r="91" spans="1:8" x14ac:dyDescent="0.25">
      <c r="F91" s="12" t="str">
        <f>IFERROR(VLOOKUP(E91,'Data sheet'!$B:$C,2,0),"")</f>
        <v/>
      </c>
    </row>
    <row r="92" spans="1:8" x14ac:dyDescent="0.25">
      <c r="F92" s="12" t="str">
        <f>IFERROR(VLOOKUP(E92,'Data sheet'!$B:$C,2,0),"")</f>
        <v/>
      </c>
    </row>
    <row r="93" spans="1:8" x14ac:dyDescent="0.25">
      <c r="F93" s="12" t="str">
        <f>IFERROR(VLOOKUP(E93,'Data sheet'!$B:$C,2,0),"")</f>
        <v/>
      </c>
    </row>
    <row r="94" spans="1:8" x14ac:dyDescent="0.25">
      <c r="F94" s="12" t="str">
        <f>IFERROR(VLOOKUP(E94,'Data sheet'!$B:$C,2,0),"")</f>
        <v/>
      </c>
    </row>
    <row r="95" spans="1:8" x14ac:dyDescent="0.25">
      <c r="F95" s="12" t="str">
        <f>IFERROR(VLOOKUP(E95,'Data sheet'!$B:$C,2,0),"")</f>
        <v/>
      </c>
    </row>
    <row r="96" spans="1:8"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6" spans="6:6" x14ac:dyDescent="0.25">
      <c r="F646" s="12" t="str">
        <f>IFERROR(VLOOKUP(E646,'Data sheet'!$B:$C,2,0),"")</f>
        <v/>
      </c>
    </row>
    <row r="647" spans="6:6" x14ac:dyDescent="0.25">
      <c r="F647" s="12" t="str">
        <f>IFERROR(VLOOKUP(E647,'Data sheet'!$B:$C,2,0),"")</f>
        <v/>
      </c>
    </row>
    <row r="648" spans="6:6" x14ac:dyDescent="0.25">
      <c r="F648" s="12" t="str">
        <f>IFERROR(VLOOKUP(E648,'Data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sheet'!$B:$C,2,0),"")</f>
        <v/>
      </c>
    </row>
    <row r="655" spans="6:6" x14ac:dyDescent="0.25">
      <c r="F655" s="12" t="str">
        <f>IFERROR(VLOOKUP(E655,'Data sheet'!$B:$C,2,0),"")</f>
        <v/>
      </c>
    </row>
    <row r="656" spans="6:6" x14ac:dyDescent="0.25">
      <c r="F656" s="12" t="str">
        <f>IFERROR(VLOOKUP(E656,'Data sheet'!$B:$C,2,0),"")</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4" spans="6:6" x14ac:dyDescent="0.25">
      <c r="F664" s="12" t="str">
        <f>IFERROR(VLOOKUP(E664,'Data sheet'!$B:$C,2),"")</f>
        <v/>
      </c>
    </row>
    <row r="665" spans="6:6" x14ac:dyDescent="0.25">
      <c r="F665" s="12" t="str">
        <f>IFERROR(VLOOKUP(E665,'Data sheet'!$B:$C,2),"")</f>
        <v/>
      </c>
    </row>
    <row r="666" spans="6:6" x14ac:dyDescent="0.25">
      <c r="F666" s="12" t="str">
        <f>IFERROR(VLOOKUP(E666,'Data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row r="729" spans="6:6" x14ac:dyDescent="0.25">
      <c r="F729" s="12" t="str">
        <f>IFERROR(VLOOKUP(E729,'Data sheet'!$B:$C,2),"")</f>
        <v/>
      </c>
    </row>
    <row r="730" spans="6:6" x14ac:dyDescent="0.25">
      <c r="F730" s="12" t="str">
        <f>IFERROR(VLOOKUP(E730,'Data sheet'!$B:$C,2),"")</f>
        <v/>
      </c>
    </row>
    <row r="731" spans="6:6" x14ac:dyDescent="0.25">
      <c r="F731" s="12" t="str">
        <f>IFERROR(VLOOKUP(E731,'Data sheet'!$B:$C,2),"")</f>
        <v/>
      </c>
    </row>
  </sheetData>
  <sortState ref="A3:H728">
    <sortCondition ref="A1"/>
  </sortState>
  <dataConsolidate/>
  <customSheetViews>
    <customSheetView guid="{0459E885-E56D-4233-A463-CDACB82F3A71}" scale="90" hiddenRows="1" topLeftCell="A59">
      <selection activeCell="I80" sqref="I80"/>
      <pageMargins left="0.7" right="0.7" top="0.75" bottom="0.75" header="0.3" footer="0.3"/>
      <pageSetup orientation="portrait" r:id="rId1"/>
    </customSheetView>
    <customSheetView guid="{D31A0C38-2BF3-428E-8B63-7EF803410846}" hiddenRows="1" state="hidden">
      <selection activeCell="A3" sqref="A3:G11"/>
      <pageMargins left="0.7" right="0.7" top="0.75" bottom="0.75" header="0.3" footer="0.3"/>
    </customSheetView>
    <customSheetView guid="{39AFBFEA-9E3B-4D39-9A52-E97212B04C3B}">
      <selection activeCell="H27" sqref="H27"/>
      <pageMargins left="0.7" right="0.7" top="0.75" bottom="0.75" header="0.3" footer="0.3"/>
      <pageSetup orientation="portrait" r:id="rId2"/>
    </customSheetView>
    <customSheetView guid="{5E4851DA-2CDD-4E0B-A9F2-CF05D4206F60}">
      <selection activeCell="E1" sqref="E1"/>
      <pageMargins left="0.7" right="0.7" top="0.75" bottom="0.75" header="0.3" footer="0.3"/>
    </customSheetView>
    <customSheetView guid="{CAAB4857-130C-45CF-BDB7-F4543166DC3F}">
      <selection activeCell="E18" sqref="E18"/>
      <pageMargins left="0.7" right="0.7" top="0.75" bottom="0.75" header="0.3" footer="0.3"/>
    </customSheetView>
    <customSheetView guid="{E72D1D85-DDEA-47FF-9C0A-B8A16DD802DE}" scale="90" hiddenRows="1" topLeftCell="A59">
      <selection activeCell="I80" sqref="I80"/>
      <pageMargins left="0.7" right="0.7" top="0.75" bottom="0.75" header="0.3" footer="0.3"/>
      <pageSetup orientation="portrait" r:id="rId3"/>
    </customSheetView>
  </customSheetViews>
  <dataValidations count="5">
    <dataValidation type="list" allowBlank="1" showInputMessage="1" showErrorMessage="1" sqref="E20:E25 E14:E15 E17:E18 E27:E30 E32:E42 E5:E12 D50 E45:E49 E51:E53 E55:E58 E60:E62 F81 E64:E80 E82:E671">
      <formula1>IF(B5="MISC","",INDIRECT(B5))</formula1>
    </dataValidation>
    <dataValidation type="list" allowBlank="1" showInputMessage="1" showErrorMessage="1" sqref="E31">
      <formula1>IF(C32="MISC","",INDIRECT(C32))</formula1>
    </dataValidation>
    <dataValidation type="list" allowBlank="1" showInputMessage="1" showErrorMessage="1" sqref="D2:D15 C50 D17:D49 E81 D51:D80 D82:D671">
      <formula1>IF(B2="Status Meeting",INDIRECT(B2),(IF(B2="MISC",INDIRECT(B2),INDIRECT("ProjectPhase"))))</formula1>
    </dataValidation>
    <dataValidation type="list" allowBlank="1" showInputMessage="1" showErrorMessage="1" sqref="C2:C15 D81 C51:C80 C82:C671 C43:C49 B50 C39:C40 C17:C34">
      <formula1>Activity</formula1>
    </dataValidation>
    <dataValidation type="list" allowBlank="1" showInputMessage="1" showErrorMessage="1" sqref="E26">
      <formula1>IF(#REF!="MISC","",INDIRECT(#REF!))</formula1>
    </dataValidation>
  </dataValidation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85"/>
  <sheetViews>
    <sheetView topLeftCell="A55" zoomScale="80" zoomScaleNormal="80" workbookViewId="0">
      <selection activeCell="E89" sqref="E89"/>
    </sheetView>
  </sheetViews>
  <sheetFormatPr defaultRowHeight="15" x14ac:dyDescent="0.25"/>
  <cols>
    <col min="1" max="1" width="28.7109375" customWidth="1"/>
    <col min="2" max="2" width="71.5703125" bestFit="1" customWidth="1"/>
    <col min="3" max="3" width="11.5703125" style="2" bestFit="1" customWidth="1"/>
    <col min="4" max="4" width="8.28515625" customWidth="1"/>
    <col min="5" max="5" width="17.85546875" customWidth="1"/>
    <col min="6" max="6" width="227.7109375" style="29" bestFit="1" customWidth="1"/>
    <col min="7" max="9" width="37" customWidth="1"/>
    <col min="10" max="10" width="69.7109375" style="42" customWidth="1"/>
    <col min="11" max="11" width="15.42578125" style="12" customWidth="1"/>
    <col min="12" max="12" width="77.85546875" style="12" bestFit="1" customWidth="1"/>
    <col min="13" max="13" width="71.5703125" bestFit="1" customWidth="1"/>
    <col min="14" max="14" width="14.42578125" bestFit="1" customWidth="1"/>
    <col min="15" max="15" width="77.85546875" bestFit="1" customWidth="1"/>
    <col min="16" max="16" width="21.42578125" customWidth="1"/>
    <col min="18" max="18" width="31.42578125" style="10" customWidth="1"/>
  </cols>
  <sheetData>
    <row r="1" spans="1:21" x14ac:dyDescent="0.25">
      <c r="A1" s="7" t="s">
        <v>2</v>
      </c>
      <c r="B1" s="7" t="s">
        <v>217</v>
      </c>
      <c r="C1" s="7" t="s">
        <v>5</v>
      </c>
      <c r="D1" s="25" t="s">
        <v>0</v>
      </c>
      <c r="E1" s="17" t="s">
        <v>81</v>
      </c>
      <c r="F1" s="28" t="s">
        <v>82</v>
      </c>
      <c r="J1" s="38" t="s">
        <v>8</v>
      </c>
      <c r="K1" s="8" t="s">
        <v>9</v>
      </c>
      <c r="L1" s="8" t="s">
        <v>10</v>
      </c>
      <c r="M1" s="12" t="s">
        <v>158</v>
      </c>
      <c r="N1" s="13" t="s">
        <v>13</v>
      </c>
      <c r="O1" s="24" t="s">
        <v>153</v>
      </c>
      <c r="P1" s="7" t="s">
        <v>14</v>
      </c>
      <c r="R1" s="17" t="s">
        <v>68</v>
      </c>
      <c r="U1" s="12" t="s">
        <v>84</v>
      </c>
    </row>
    <row r="2" spans="1:21" x14ac:dyDescent="0.25">
      <c r="A2" s="13" t="s">
        <v>8</v>
      </c>
      <c r="B2" s="3" t="s">
        <v>15</v>
      </c>
      <c r="C2" s="13" t="s">
        <v>63</v>
      </c>
      <c r="D2" s="13"/>
      <c r="E2" s="13"/>
      <c r="F2" s="27" t="s">
        <v>93</v>
      </c>
      <c r="J2" s="38" t="str">
        <f>$B2</f>
        <v>LQ Churn Dashboard Summary - Weekly (Bus Sol)</v>
      </c>
      <c r="K2" s="13" t="str">
        <f t="shared" ref="K2:M17" si="0">$B2</f>
        <v>LQ Churn Dashboard Summary - Weekly (Bus Sol)</v>
      </c>
      <c r="L2" s="13" t="str">
        <f t="shared" si="0"/>
        <v>LQ Churn Dashboard Summary - Weekly (Bus Sol)</v>
      </c>
      <c r="M2" s="13" t="str">
        <f t="shared" si="0"/>
        <v>LQ Churn Dashboard Summary - Weekly (Bus Sol)</v>
      </c>
      <c r="N2" s="12"/>
      <c r="O2" s="13" t="str">
        <f t="shared" ref="O2:O64" si="1">$B2</f>
        <v>LQ Churn Dashboard Summary - Weekly (Bus Sol)</v>
      </c>
      <c r="P2" s="13" t="s">
        <v>58</v>
      </c>
      <c r="R2" s="80" t="s">
        <v>69</v>
      </c>
      <c r="U2" s="12" t="s">
        <v>85</v>
      </c>
    </row>
    <row r="3" spans="1:21" x14ac:dyDescent="0.25">
      <c r="A3" s="13" t="s">
        <v>9</v>
      </c>
      <c r="B3" s="3" t="s">
        <v>16</v>
      </c>
      <c r="C3" s="13" t="s">
        <v>63</v>
      </c>
      <c r="D3" s="13"/>
      <c r="E3" s="13"/>
      <c r="F3" s="27" t="s">
        <v>94</v>
      </c>
      <c r="J3" s="38" t="str">
        <f t="shared" ref="J3:J43" si="2">$B3</f>
        <v>LCTL Churn Dashboard Summary- Weekly (DWPRD Segment B)</v>
      </c>
      <c r="K3" s="13" t="str">
        <f t="shared" si="0"/>
        <v>LCTL Churn Dashboard Summary- Weekly (DWPRD Segment B)</v>
      </c>
      <c r="L3" s="13" t="str">
        <f t="shared" si="0"/>
        <v>LCTL Churn Dashboard Summary- Weekly (DWPRD Segment B)</v>
      </c>
      <c r="M3" s="13" t="str">
        <f t="shared" si="0"/>
        <v>LCTL Churn Dashboard Summary- Weekly (DWPRD Segment B)</v>
      </c>
      <c r="O3" s="13" t="str">
        <f t="shared" si="1"/>
        <v>LCTL Churn Dashboard Summary- Weekly (DWPRD Segment B)</v>
      </c>
      <c r="P3" s="13" t="s">
        <v>59</v>
      </c>
      <c r="R3" s="80" t="s">
        <v>70</v>
      </c>
      <c r="U3" s="12" t="s">
        <v>79</v>
      </c>
    </row>
    <row r="4" spans="1:21" x14ac:dyDescent="0.25">
      <c r="A4" s="13" t="s">
        <v>10</v>
      </c>
      <c r="B4" s="3" t="s">
        <v>17</v>
      </c>
      <c r="C4" s="13" t="s">
        <v>63</v>
      </c>
      <c r="D4" s="13"/>
      <c r="E4" s="13"/>
      <c r="F4" s="27" t="s">
        <v>95</v>
      </c>
      <c r="J4" s="38" t="str">
        <f t="shared" si="2"/>
        <v>Promo Churn Report LQ - Weekly (BUS SOL)</v>
      </c>
      <c r="K4" s="13" t="str">
        <f t="shared" si="0"/>
        <v>Promo Churn Report LQ - Weekly (BUS SOL)</v>
      </c>
      <c r="L4" s="13" t="str">
        <f t="shared" si="0"/>
        <v>Promo Churn Report LQ - Weekly (BUS SOL)</v>
      </c>
      <c r="M4" s="13" t="str">
        <f t="shared" si="0"/>
        <v>Promo Churn Report LQ - Weekly (BUS SOL)</v>
      </c>
      <c r="O4" s="13" t="str">
        <f t="shared" si="1"/>
        <v>Promo Churn Report LQ - Weekly (BUS SOL)</v>
      </c>
      <c r="P4" s="13" t="s">
        <v>60</v>
      </c>
      <c r="R4" s="80" t="s">
        <v>71</v>
      </c>
      <c r="U4" s="12" t="s">
        <v>86</v>
      </c>
    </row>
    <row r="5" spans="1:21" x14ac:dyDescent="0.25">
      <c r="A5" s="13" t="s">
        <v>158</v>
      </c>
      <c r="B5" s="3" t="s">
        <v>18</v>
      </c>
      <c r="C5" s="13" t="s">
        <v>63</v>
      </c>
      <c r="D5" s="13"/>
      <c r="E5" s="13"/>
      <c r="F5" s="27" t="s">
        <v>96</v>
      </c>
      <c r="J5" s="38" t="str">
        <f t="shared" si="2"/>
        <v>Promo Churn Report LCTL - Weekly (DWPRD Segment B)</v>
      </c>
      <c r="K5" s="13" t="str">
        <f t="shared" si="0"/>
        <v>Promo Churn Report LCTL - Weekly (DWPRD Segment B)</v>
      </c>
      <c r="L5" s="13" t="str">
        <f t="shared" si="0"/>
        <v>Promo Churn Report LCTL - Weekly (DWPRD Segment B)</v>
      </c>
      <c r="M5" s="13" t="str">
        <f t="shared" si="0"/>
        <v>Promo Churn Report LCTL - Weekly (DWPRD Segment B)</v>
      </c>
      <c r="O5" s="13" t="str">
        <f t="shared" si="1"/>
        <v>Promo Churn Report LCTL - Weekly (DWPRD Segment B)</v>
      </c>
      <c r="P5" s="13" t="s">
        <v>61</v>
      </c>
      <c r="R5" s="80" t="s">
        <v>72</v>
      </c>
      <c r="U5" s="12" t="s">
        <v>87</v>
      </c>
    </row>
    <row r="6" spans="1:21" x14ac:dyDescent="0.25">
      <c r="A6" s="13" t="s">
        <v>13</v>
      </c>
      <c r="B6" s="3" t="s">
        <v>19</v>
      </c>
      <c r="C6" s="13" t="s">
        <v>64</v>
      </c>
      <c r="D6" s="13"/>
      <c r="E6" s="13"/>
      <c r="F6" s="27" t="s">
        <v>97</v>
      </c>
      <c r="J6" s="38" t="str">
        <f t="shared" si="2"/>
        <v>ETF analysis HSI and CC</v>
      </c>
      <c r="K6" s="13" t="str">
        <f t="shared" si="0"/>
        <v>ETF analysis HSI and CC</v>
      </c>
      <c r="L6" s="13" t="str">
        <f t="shared" si="0"/>
        <v>ETF analysis HSI and CC</v>
      </c>
      <c r="M6" s="13" t="str">
        <f t="shared" si="0"/>
        <v>ETF analysis HSI and CC</v>
      </c>
      <c r="O6" s="13" t="str">
        <f t="shared" si="1"/>
        <v>ETF analysis HSI and CC</v>
      </c>
      <c r="P6" s="13" t="s">
        <v>11</v>
      </c>
      <c r="R6" s="80" t="s">
        <v>73</v>
      </c>
      <c r="U6" s="12" t="s">
        <v>88</v>
      </c>
    </row>
    <row r="7" spans="1:21" x14ac:dyDescent="0.25">
      <c r="A7" s="13" t="s">
        <v>14</v>
      </c>
      <c r="B7" s="3" t="s">
        <v>20</v>
      </c>
      <c r="C7" s="13" t="s">
        <v>65</v>
      </c>
      <c r="D7" s="13"/>
      <c r="E7" s="13"/>
      <c r="F7" s="27" t="s">
        <v>98</v>
      </c>
      <c r="J7" s="38" t="str">
        <f t="shared" si="2"/>
        <v>SB Daily, Weekly, Monthly Dashboard</v>
      </c>
      <c r="K7" s="13" t="str">
        <f t="shared" si="0"/>
        <v>SB Daily, Weekly, Monthly Dashboard</v>
      </c>
      <c r="L7" s="13" t="str">
        <f t="shared" si="0"/>
        <v>SB Daily, Weekly, Monthly Dashboard</v>
      </c>
      <c r="M7" s="13" t="str">
        <f t="shared" si="0"/>
        <v>SB Daily, Weekly, Monthly Dashboard</v>
      </c>
      <c r="O7" s="13" t="str">
        <f t="shared" si="1"/>
        <v>SB Daily, Weekly, Monthly Dashboard</v>
      </c>
      <c r="P7" s="13" t="s">
        <v>62</v>
      </c>
      <c r="R7" s="80" t="s">
        <v>74</v>
      </c>
      <c r="U7" s="12" t="s">
        <v>89</v>
      </c>
    </row>
    <row r="8" spans="1:21" x14ac:dyDescent="0.25">
      <c r="A8" s="24" t="s">
        <v>153</v>
      </c>
      <c r="B8" s="3" t="s">
        <v>21</v>
      </c>
      <c r="C8" s="13" t="s">
        <v>64</v>
      </c>
      <c r="D8" s="13"/>
      <c r="E8" s="13"/>
      <c r="F8" s="27" t="s">
        <v>99</v>
      </c>
      <c r="J8" s="38" t="str">
        <f t="shared" si="2"/>
        <v>Life Time Value Project - Inputs</v>
      </c>
      <c r="K8" s="13" t="str">
        <f t="shared" si="0"/>
        <v>Life Time Value Project - Inputs</v>
      </c>
      <c r="L8" s="13" t="str">
        <f t="shared" si="0"/>
        <v>Life Time Value Project - Inputs</v>
      </c>
      <c r="M8" s="13" t="str">
        <f t="shared" si="0"/>
        <v>Life Time Value Project - Inputs</v>
      </c>
      <c r="O8" s="13" t="str">
        <f t="shared" si="1"/>
        <v>Life Time Value Project - Inputs</v>
      </c>
      <c r="P8" s="24" t="s">
        <v>123</v>
      </c>
      <c r="R8" s="80" t="s">
        <v>75</v>
      </c>
      <c r="U8" s="12" t="s">
        <v>90</v>
      </c>
    </row>
    <row r="9" spans="1:21" x14ac:dyDescent="0.25">
      <c r="A9" s="24" t="s">
        <v>234</v>
      </c>
      <c r="B9" s="3" t="s">
        <v>22</v>
      </c>
      <c r="C9" s="13" t="s">
        <v>64</v>
      </c>
      <c r="D9" s="13"/>
      <c r="E9" s="13"/>
      <c r="F9" s="27" t="e">
        <v>#N/A</v>
      </c>
      <c r="J9" s="38" t="str">
        <f t="shared" si="2"/>
        <v>SMB Leading Sales Indicator</v>
      </c>
      <c r="K9" s="13" t="str">
        <f t="shared" si="0"/>
        <v>SMB Leading Sales Indicator</v>
      </c>
      <c r="L9" s="13" t="str">
        <f t="shared" si="0"/>
        <v>SMB Leading Sales Indicator</v>
      </c>
      <c r="M9" s="13" t="str">
        <f t="shared" si="0"/>
        <v>SMB Leading Sales Indicator</v>
      </c>
      <c r="O9" s="13" t="str">
        <f t="shared" si="1"/>
        <v>SMB Leading Sales Indicator</v>
      </c>
      <c r="P9" s="33" t="s">
        <v>145</v>
      </c>
      <c r="R9" s="80" t="s">
        <v>76</v>
      </c>
      <c r="U9" s="12" t="s">
        <v>91</v>
      </c>
    </row>
    <row r="10" spans="1:21" x14ac:dyDescent="0.25">
      <c r="B10" s="3" t="s">
        <v>23</v>
      </c>
      <c r="C10" s="13" t="s">
        <v>65</v>
      </c>
      <c r="D10" s="13"/>
      <c r="E10" s="13"/>
      <c r="F10" s="27" t="s">
        <v>119</v>
      </c>
      <c r="J10" s="38" t="str">
        <f t="shared" si="2"/>
        <v>Pending Prism Funnel Report</v>
      </c>
      <c r="K10" s="13" t="str">
        <f t="shared" si="0"/>
        <v>Pending Prism Funnel Report</v>
      </c>
      <c r="L10" s="13" t="str">
        <f t="shared" si="0"/>
        <v>Pending Prism Funnel Report</v>
      </c>
      <c r="M10" s="13" t="str">
        <f t="shared" si="0"/>
        <v>Pending Prism Funnel Report</v>
      </c>
      <c r="O10" s="13" t="str">
        <f t="shared" si="1"/>
        <v>Pending Prism Funnel Report</v>
      </c>
      <c r="P10" s="33" t="s">
        <v>146</v>
      </c>
      <c r="R10" s="80" t="s">
        <v>77</v>
      </c>
      <c r="U10" s="12" t="s">
        <v>159</v>
      </c>
    </row>
    <row r="11" spans="1:21" ht="15" customHeight="1" x14ac:dyDescent="0.25">
      <c r="B11" s="3" t="s">
        <v>24</v>
      </c>
      <c r="C11" s="13" t="s">
        <v>63</v>
      </c>
      <c r="D11" s="26">
        <v>42024</v>
      </c>
      <c r="E11" s="13" t="s">
        <v>79</v>
      </c>
      <c r="F11" s="27" t="s">
        <v>108</v>
      </c>
      <c r="J11" s="38" t="str">
        <f t="shared" si="2"/>
        <v>Promo  LQ and LCTL Discretionary Reports</v>
      </c>
      <c r="K11" s="13" t="str">
        <f t="shared" si="0"/>
        <v>Promo  LQ and LCTL Discretionary Reports</v>
      </c>
      <c r="L11" s="13" t="str">
        <f t="shared" si="0"/>
        <v>Promo  LQ and LCTL Discretionary Reports</v>
      </c>
      <c r="M11" s="13" t="str">
        <f t="shared" si="0"/>
        <v>Promo  LQ and LCTL Discretionary Reports</v>
      </c>
      <c r="O11" s="13" t="str">
        <f t="shared" si="1"/>
        <v>Promo  LQ and LCTL Discretionary Reports</v>
      </c>
      <c r="P11" s="33" t="s">
        <v>237</v>
      </c>
      <c r="R11" s="80" t="s">
        <v>78</v>
      </c>
    </row>
    <row r="12" spans="1:21" ht="63.75" customHeight="1" x14ac:dyDescent="0.25">
      <c r="B12" s="3" t="s">
        <v>25</v>
      </c>
      <c r="C12" s="11" t="s">
        <v>66</v>
      </c>
      <c r="D12" s="13"/>
      <c r="E12" s="13"/>
      <c r="F12" s="27" t="s">
        <v>100</v>
      </c>
      <c r="J12" s="38" t="str">
        <f t="shared" si="2"/>
        <v>HSI CHURN - TST IMPACTS</v>
      </c>
      <c r="K12" s="13" t="str">
        <f t="shared" si="0"/>
        <v>HSI CHURN - TST IMPACTS</v>
      </c>
      <c r="L12" s="13" t="str">
        <f t="shared" si="0"/>
        <v>HSI CHURN - TST IMPACTS</v>
      </c>
      <c r="M12" s="13" t="str">
        <f t="shared" si="0"/>
        <v>HSI CHURN - TST IMPACTS</v>
      </c>
      <c r="O12" s="13" t="str">
        <f t="shared" si="1"/>
        <v>HSI CHURN - TST IMPACTS</v>
      </c>
      <c r="P12" s="33" t="s">
        <v>230</v>
      </c>
      <c r="R12" s="81" t="s">
        <v>235</v>
      </c>
    </row>
    <row r="13" spans="1:21" x14ac:dyDescent="0.25">
      <c r="B13" s="3" t="s">
        <v>26</v>
      </c>
      <c r="C13" s="11" t="s">
        <v>65</v>
      </c>
      <c r="D13" s="13"/>
      <c r="E13" s="13"/>
      <c r="F13" s="27" t="s">
        <v>101</v>
      </c>
      <c r="J13" s="38" t="str">
        <f t="shared" si="2"/>
        <v>IMMX Sale Dashboard- Phase 2</v>
      </c>
      <c r="K13" s="13" t="str">
        <f t="shared" si="0"/>
        <v>IMMX Sale Dashboard- Phase 2</v>
      </c>
      <c r="L13" s="13" t="str">
        <f t="shared" si="0"/>
        <v>IMMX Sale Dashboard- Phase 2</v>
      </c>
      <c r="M13" s="13" t="str">
        <f t="shared" si="0"/>
        <v>IMMX Sale Dashboard- Phase 2</v>
      </c>
      <c r="O13" s="13" t="str">
        <f t="shared" si="1"/>
        <v>IMMX Sale Dashboard- Phase 2</v>
      </c>
      <c r="P13" s="33" t="s">
        <v>233</v>
      </c>
      <c r="R13" s="79"/>
    </row>
    <row r="14" spans="1:21" x14ac:dyDescent="0.25">
      <c r="B14" s="3" t="s">
        <v>27</v>
      </c>
      <c r="C14" s="11" t="s">
        <v>64</v>
      </c>
      <c r="D14" s="13"/>
      <c r="E14" s="13"/>
      <c r="F14" s="27">
        <v>0</v>
      </c>
      <c r="J14" s="38" t="str">
        <f t="shared" si="2"/>
        <v>Prism Dashboard</v>
      </c>
      <c r="K14" s="13" t="str">
        <f t="shared" si="0"/>
        <v>Prism Dashboard</v>
      </c>
      <c r="L14" s="13" t="str">
        <f t="shared" si="0"/>
        <v>Prism Dashboard</v>
      </c>
      <c r="M14" s="13" t="str">
        <f t="shared" si="0"/>
        <v>Prism Dashboard</v>
      </c>
      <c r="O14" s="13" t="str">
        <f t="shared" si="1"/>
        <v>Prism Dashboard</v>
      </c>
      <c r="R14" s="79"/>
    </row>
    <row r="15" spans="1:21" x14ac:dyDescent="0.25">
      <c r="B15" s="3" t="s">
        <v>28</v>
      </c>
      <c r="C15" s="11" t="s">
        <v>63</v>
      </c>
      <c r="D15" s="26">
        <v>42024</v>
      </c>
      <c r="E15" s="13" t="s">
        <v>79</v>
      </c>
      <c r="F15" s="27" t="s">
        <v>118</v>
      </c>
      <c r="J15" s="38" t="str">
        <f t="shared" si="2"/>
        <v>Small Business Integrated Churn Scorecard-Daily</v>
      </c>
      <c r="K15" s="13" t="str">
        <f t="shared" si="0"/>
        <v>Small Business Integrated Churn Scorecard-Daily</v>
      </c>
      <c r="L15" s="13" t="str">
        <f t="shared" si="0"/>
        <v>Small Business Integrated Churn Scorecard-Daily</v>
      </c>
      <c r="M15" s="13" t="str">
        <f t="shared" si="0"/>
        <v>Small Business Integrated Churn Scorecard-Daily</v>
      </c>
      <c r="O15" s="13" t="str">
        <f t="shared" si="1"/>
        <v>Small Business Integrated Churn Scorecard-Daily</v>
      </c>
      <c r="R15" s="8"/>
    </row>
    <row r="16" spans="1:21" x14ac:dyDescent="0.25">
      <c r="B16" s="3" t="s">
        <v>29</v>
      </c>
      <c r="C16" s="11" t="s">
        <v>65</v>
      </c>
      <c r="D16" s="13"/>
      <c r="E16" s="13"/>
      <c r="F16" s="27" t="s">
        <v>122</v>
      </c>
      <c r="J16" s="38" t="str">
        <f t="shared" si="2"/>
        <v xml:space="preserve">SB Retention on Report cleanup and optimization request </v>
      </c>
      <c r="K16" s="13" t="str">
        <f t="shared" si="0"/>
        <v xml:space="preserve">SB Retention on Report cleanup and optimization request </v>
      </c>
      <c r="L16" s="13" t="str">
        <f t="shared" si="0"/>
        <v xml:space="preserve">SB Retention on Report cleanup and optimization request </v>
      </c>
      <c r="M16" s="13" t="str">
        <f t="shared" si="0"/>
        <v xml:space="preserve">SB Retention on Report cleanup and optimization request </v>
      </c>
      <c r="O16" s="13" t="str">
        <f t="shared" si="1"/>
        <v xml:space="preserve">SB Retention on Report cleanup and optimization request </v>
      </c>
      <c r="R16" s="8"/>
    </row>
    <row r="17" spans="2:18" x14ac:dyDescent="0.25">
      <c r="B17" s="3" t="s">
        <v>30</v>
      </c>
      <c r="C17" s="11" t="s">
        <v>64</v>
      </c>
      <c r="D17" s="13"/>
      <c r="E17" s="13"/>
      <c r="F17" s="27" t="s">
        <v>102</v>
      </c>
      <c r="J17" s="38" t="str">
        <f t="shared" si="2"/>
        <v>Phase 2: CC2 Data request</v>
      </c>
      <c r="K17" s="13" t="str">
        <f t="shared" si="0"/>
        <v>Phase 2: CC2 Data request</v>
      </c>
      <c r="L17" s="13" t="str">
        <f t="shared" si="0"/>
        <v>Phase 2: CC2 Data request</v>
      </c>
      <c r="M17" s="13" t="str">
        <f t="shared" si="0"/>
        <v>Phase 2: CC2 Data request</v>
      </c>
      <c r="O17" s="13" t="str">
        <f t="shared" si="1"/>
        <v>Phase 2: CC2 Data request</v>
      </c>
      <c r="R17" s="8"/>
    </row>
    <row r="18" spans="2:18" x14ac:dyDescent="0.25">
      <c r="B18" s="3" t="s">
        <v>31</v>
      </c>
      <c r="C18" s="11" t="s">
        <v>63</v>
      </c>
      <c r="D18" s="13"/>
      <c r="E18" s="13"/>
      <c r="F18" s="27" t="e">
        <v>#N/A</v>
      </c>
      <c r="J18" s="38" t="str">
        <f t="shared" si="2"/>
        <v>2014 Small Bus Call Center - Main Focus Areas Request</v>
      </c>
      <c r="K18" s="13" t="str">
        <f t="shared" ref="K18:M44" si="3">$B18</f>
        <v>2014 Small Bus Call Center - Main Focus Areas Request</v>
      </c>
      <c r="L18" s="13" t="str">
        <f t="shared" si="3"/>
        <v>2014 Small Bus Call Center - Main Focus Areas Request</v>
      </c>
      <c r="M18" s="13" t="str">
        <f t="shared" si="3"/>
        <v>2014 Small Bus Call Center - Main Focus Areas Request</v>
      </c>
      <c r="O18" s="13" t="str">
        <f t="shared" si="1"/>
        <v>2014 Small Bus Call Center - Main Focus Areas Request</v>
      </c>
      <c r="R18" s="8"/>
    </row>
    <row r="19" spans="2:18" x14ac:dyDescent="0.25">
      <c r="B19" s="3" t="s">
        <v>32</v>
      </c>
      <c r="C19" s="11" t="s">
        <v>64</v>
      </c>
      <c r="D19" s="13"/>
      <c r="E19" s="13"/>
      <c r="F19" s="27" t="s">
        <v>103</v>
      </c>
      <c r="J19" s="38" t="str">
        <f t="shared" si="2"/>
        <v>Vendor Partner Compensation Dashboard</v>
      </c>
      <c r="K19" s="13" t="str">
        <f t="shared" si="3"/>
        <v>Vendor Partner Compensation Dashboard</v>
      </c>
      <c r="L19" s="13" t="str">
        <f t="shared" si="3"/>
        <v>Vendor Partner Compensation Dashboard</v>
      </c>
      <c r="M19" s="13" t="str">
        <f t="shared" si="3"/>
        <v>Vendor Partner Compensation Dashboard</v>
      </c>
      <c r="O19" s="13" t="str">
        <f t="shared" si="1"/>
        <v>Vendor Partner Compensation Dashboard</v>
      </c>
      <c r="R19" s="8"/>
    </row>
    <row r="20" spans="2:18" x14ac:dyDescent="0.25">
      <c r="B20" s="3" t="s">
        <v>33</v>
      </c>
      <c r="C20" s="11" t="s">
        <v>63</v>
      </c>
      <c r="D20" s="13"/>
      <c r="E20" s="13"/>
      <c r="F20" s="27" t="s">
        <v>116</v>
      </c>
      <c r="J20" s="38" t="str">
        <f t="shared" si="2"/>
        <v>SOHO RR Dashboard</v>
      </c>
      <c r="K20" s="13" t="str">
        <f t="shared" si="3"/>
        <v>SOHO RR Dashboard</v>
      </c>
      <c r="L20" s="13" t="str">
        <f t="shared" si="3"/>
        <v>SOHO RR Dashboard</v>
      </c>
      <c r="M20" s="13" t="str">
        <f t="shared" si="3"/>
        <v>SOHO RR Dashboard</v>
      </c>
      <c r="O20" s="13" t="str">
        <f t="shared" si="1"/>
        <v>SOHO RR Dashboard</v>
      </c>
      <c r="R20" s="8"/>
    </row>
    <row r="21" spans="2:18" x14ac:dyDescent="0.25">
      <c r="B21" s="3" t="s">
        <v>34</v>
      </c>
      <c r="C21" s="11" t="s">
        <v>63</v>
      </c>
      <c r="D21" s="13"/>
      <c r="E21" s="13"/>
      <c r="F21" s="27" t="s">
        <v>115</v>
      </c>
      <c r="J21" s="38" t="str">
        <f t="shared" si="2"/>
        <v>To extract churn data at BTN level for HSI and B1 products for both LQ and LCTL</v>
      </c>
      <c r="K21" s="13" t="str">
        <f t="shared" si="3"/>
        <v>To extract churn data at BTN level for HSI and B1 products for both LQ and LCTL</v>
      </c>
      <c r="L21" s="13" t="str">
        <f t="shared" si="3"/>
        <v>To extract churn data at BTN level for HSI and B1 products for both LQ and LCTL</v>
      </c>
      <c r="M21" s="13" t="str">
        <f t="shared" si="3"/>
        <v>To extract churn data at BTN level for HSI and B1 products for both LQ and LCTL</v>
      </c>
      <c r="O21" s="13" t="str">
        <f t="shared" si="1"/>
        <v>To extract churn data at BTN level for HSI and B1 products for both LQ and LCTL</v>
      </c>
      <c r="R21" s="8"/>
    </row>
    <row r="22" spans="2:18" x14ac:dyDescent="0.25">
      <c r="B22" s="3" t="s">
        <v>37</v>
      </c>
      <c r="C22" s="11" t="s">
        <v>66</v>
      </c>
      <c r="D22" s="13"/>
      <c r="E22" s="13"/>
      <c r="F22" s="27" t="e">
        <v>#N/A</v>
      </c>
      <c r="J22" s="38" t="str">
        <f t="shared" si="2"/>
        <v>Educational Institutes potential</v>
      </c>
      <c r="K22" s="13" t="str">
        <f t="shared" si="3"/>
        <v>Educational Institutes potential</v>
      </c>
      <c r="L22" s="13" t="str">
        <f t="shared" si="3"/>
        <v>Educational Institutes potential</v>
      </c>
      <c r="M22" s="13" t="str">
        <f t="shared" si="3"/>
        <v>Educational Institutes potential</v>
      </c>
      <c r="O22" s="13" t="str">
        <f t="shared" si="1"/>
        <v>Educational Institutes potential</v>
      </c>
      <c r="R22" s="8"/>
    </row>
    <row r="23" spans="2:18" x14ac:dyDescent="0.25">
      <c r="B23" s="3" t="s">
        <v>38</v>
      </c>
      <c r="C23" s="11" t="s">
        <v>67</v>
      </c>
      <c r="D23" s="13"/>
      <c r="E23" s="13"/>
      <c r="F23" s="27" t="s">
        <v>111</v>
      </c>
      <c r="J23" s="38" t="str">
        <f t="shared" si="2"/>
        <v xml:space="preserve">Propensity to Churn trial </v>
      </c>
      <c r="K23" s="13" t="str">
        <f t="shared" si="3"/>
        <v xml:space="preserve">Propensity to Churn trial </v>
      </c>
      <c r="L23" s="13" t="str">
        <f t="shared" si="3"/>
        <v xml:space="preserve">Propensity to Churn trial </v>
      </c>
      <c r="M23" s="13" t="str">
        <f t="shared" si="3"/>
        <v xml:space="preserve">Propensity to Churn trial </v>
      </c>
      <c r="O23" s="13" t="str">
        <f t="shared" si="1"/>
        <v xml:space="preserve">Propensity to Churn trial </v>
      </c>
      <c r="R23" s="8"/>
    </row>
    <row r="24" spans="2:18" x14ac:dyDescent="0.25">
      <c r="B24" s="3" t="s">
        <v>39</v>
      </c>
      <c r="C24" s="13" t="s">
        <v>65</v>
      </c>
      <c r="D24" s="13"/>
      <c r="E24" s="13"/>
      <c r="F24" s="27" t="s">
        <v>104</v>
      </c>
      <c r="J24" s="38" t="str">
        <f t="shared" si="2"/>
        <v>Drop Schedule</v>
      </c>
      <c r="K24" s="13" t="str">
        <f t="shared" si="3"/>
        <v>Drop Schedule</v>
      </c>
      <c r="L24" s="13" t="str">
        <f t="shared" si="3"/>
        <v>Drop Schedule</v>
      </c>
      <c r="M24" s="13" t="str">
        <f t="shared" si="3"/>
        <v>Drop Schedule</v>
      </c>
      <c r="O24" s="13" t="str">
        <f t="shared" si="1"/>
        <v>Drop Schedule</v>
      </c>
      <c r="R24" s="8"/>
    </row>
    <row r="25" spans="2:18" x14ac:dyDescent="0.25">
      <c r="B25" s="3" t="s">
        <v>40</v>
      </c>
      <c r="C25" s="11" t="s">
        <v>64</v>
      </c>
      <c r="D25" s="13"/>
      <c r="E25" s="12" t="s">
        <v>187</v>
      </c>
      <c r="F25" s="27" t="s">
        <v>114</v>
      </c>
      <c r="J25" s="38" t="str">
        <f t="shared" si="2"/>
        <v>SMB Product Overview KPIs</v>
      </c>
      <c r="K25" s="13" t="str">
        <f t="shared" si="3"/>
        <v>SMB Product Overview KPIs</v>
      </c>
      <c r="L25" s="13" t="str">
        <f t="shared" si="3"/>
        <v>SMB Product Overview KPIs</v>
      </c>
      <c r="M25" s="13" t="str">
        <f t="shared" si="3"/>
        <v>SMB Product Overview KPIs</v>
      </c>
      <c r="O25" s="13" t="str">
        <f t="shared" si="1"/>
        <v>SMB Product Overview KPIs</v>
      </c>
      <c r="R25" s="8"/>
    </row>
    <row r="26" spans="2:18" ht="240" x14ac:dyDescent="0.25">
      <c r="B26" s="3" t="s">
        <v>41</v>
      </c>
      <c r="C26" s="11" t="s">
        <v>67</v>
      </c>
      <c r="D26" s="13"/>
      <c r="E26" s="13"/>
      <c r="F26" s="27" t="s">
        <v>106</v>
      </c>
      <c r="J26" s="38" t="str">
        <f t="shared" si="2"/>
        <v>Smart Home</v>
      </c>
      <c r="K26" s="13" t="str">
        <f t="shared" si="3"/>
        <v>Smart Home</v>
      </c>
      <c r="L26" s="13" t="str">
        <f t="shared" si="3"/>
        <v>Smart Home</v>
      </c>
      <c r="M26" s="13" t="str">
        <f t="shared" si="3"/>
        <v>Smart Home</v>
      </c>
      <c r="O26" s="13" t="str">
        <f t="shared" si="1"/>
        <v>Smart Home</v>
      </c>
      <c r="R26" s="8"/>
    </row>
    <row r="27" spans="2:18" x14ac:dyDescent="0.25">
      <c r="B27" s="3" t="s">
        <v>42</v>
      </c>
      <c r="C27" s="11" t="s">
        <v>66</v>
      </c>
      <c r="D27" s="13"/>
      <c r="E27" s="13"/>
      <c r="F27" s="27">
        <v>0</v>
      </c>
      <c r="J27" s="38" t="str">
        <f t="shared" si="2"/>
        <v>B360 reconciliation</v>
      </c>
      <c r="K27" s="13" t="str">
        <f t="shared" si="3"/>
        <v>B360 reconciliation</v>
      </c>
      <c r="L27" s="13" t="str">
        <f t="shared" si="3"/>
        <v>B360 reconciliation</v>
      </c>
      <c r="M27" s="13" t="str">
        <f t="shared" si="3"/>
        <v>B360 reconciliation</v>
      </c>
      <c r="O27" s="13" t="str">
        <f t="shared" si="1"/>
        <v>B360 reconciliation</v>
      </c>
      <c r="R27" s="8"/>
    </row>
    <row r="28" spans="2:18" x14ac:dyDescent="0.25">
      <c r="B28" s="4" t="s">
        <v>43</v>
      </c>
      <c r="C28" s="11" t="s">
        <v>64</v>
      </c>
      <c r="D28" s="13"/>
      <c r="E28" s="13"/>
      <c r="F28" s="27" t="s">
        <v>130</v>
      </c>
      <c r="J28" s="38" t="str">
        <f t="shared" si="2"/>
        <v>Monthly Metrics    (From SFDC)</v>
      </c>
      <c r="K28" s="13" t="str">
        <f t="shared" si="3"/>
        <v>Monthly Metrics    (From SFDC)</v>
      </c>
      <c r="L28" s="13" t="str">
        <f t="shared" si="3"/>
        <v>Monthly Metrics    (From SFDC)</v>
      </c>
      <c r="M28" s="13" t="str">
        <f t="shared" si="3"/>
        <v>Monthly Metrics    (From SFDC)</v>
      </c>
      <c r="O28" s="13" t="str">
        <f t="shared" si="1"/>
        <v>Monthly Metrics    (From SFDC)</v>
      </c>
      <c r="R28" s="8"/>
    </row>
    <row r="29" spans="2:18" x14ac:dyDescent="0.25">
      <c r="B29" s="5" t="s">
        <v>44</v>
      </c>
      <c r="C29" s="11" t="s">
        <v>64</v>
      </c>
      <c r="D29" s="13"/>
      <c r="E29" s="13"/>
      <c r="F29" s="27" t="e">
        <v>#N/A</v>
      </c>
      <c r="J29" s="38" t="str">
        <f t="shared" si="2"/>
        <v>Product Installation &amp; Equipment Report</v>
      </c>
      <c r="K29" s="13" t="str">
        <f t="shared" si="3"/>
        <v>Product Installation &amp; Equipment Report</v>
      </c>
      <c r="L29" s="13" t="str">
        <f t="shared" si="3"/>
        <v>Product Installation &amp; Equipment Report</v>
      </c>
      <c r="M29" s="13" t="str">
        <f t="shared" si="3"/>
        <v>Product Installation &amp; Equipment Report</v>
      </c>
      <c r="O29" s="13" t="str">
        <f t="shared" si="1"/>
        <v>Product Installation &amp; Equipment Report</v>
      </c>
      <c r="R29" s="8"/>
    </row>
    <row r="30" spans="2:18" x14ac:dyDescent="0.25">
      <c r="B30" s="4" t="s">
        <v>45</v>
      </c>
      <c r="C30" s="11" t="s">
        <v>64</v>
      </c>
      <c r="D30" s="13"/>
      <c r="E30" s="13"/>
      <c r="F30" s="27" t="e">
        <v>#N/A</v>
      </c>
      <c r="J30" s="38" t="str">
        <f t="shared" si="2"/>
        <v>Funnel forecasting</v>
      </c>
      <c r="K30" s="13" t="str">
        <f t="shared" si="3"/>
        <v>Funnel forecasting</v>
      </c>
      <c r="L30" s="13" t="str">
        <f t="shared" si="3"/>
        <v>Funnel forecasting</v>
      </c>
      <c r="M30" s="13" t="str">
        <f t="shared" si="3"/>
        <v>Funnel forecasting</v>
      </c>
      <c r="O30" s="13" t="str">
        <f t="shared" si="1"/>
        <v>Funnel forecasting</v>
      </c>
      <c r="R30" s="8"/>
    </row>
    <row r="31" spans="2:18" x14ac:dyDescent="0.25">
      <c r="B31" s="5" t="s">
        <v>46</v>
      </c>
      <c r="C31" s="11" t="s">
        <v>64</v>
      </c>
      <c r="D31" s="13"/>
      <c r="E31" s="13"/>
      <c r="F31" s="27" t="e">
        <v>#N/A</v>
      </c>
      <c r="J31" s="38" t="str">
        <f t="shared" si="2"/>
        <v>PMC reports</v>
      </c>
      <c r="K31" s="13" t="str">
        <f t="shared" si="3"/>
        <v>PMC reports</v>
      </c>
      <c r="L31" s="13" t="str">
        <f t="shared" si="3"/>
        <v>PMC reports</v>
      </c>
      <c r="M31" s="13" t="str">
        <f t="shared" si="3"/>
        <v>PMC reports</v>
      </c>
      <c r="O31" s="13" t="str">
        <f t="shared" si="1"/>
        <v>PMC reports</v>
      </c>
      <c r="R31" s="8"/>
    </row>
    <row r="32" spans="2:18" x14ac:dyDescent="0.25">
      <c r="B32" s="45" t="s">
        <v>166</v>
      </c>
      <c r="C32" s="11" t="s">
        <v>64</v>
      </c>
      <c r="D32" s="13"/>
      <c r="E32" s="13"/>
      <c r="F32" s="27" t="e">
        <v>#N/A</v>
      </c>
      <c r="J32" s="38" t="str">
        <f t="shared" si="2"/>
        <v>Sequential Billing Activity</v>
      </c>
      <c r="K32" s="13" t="str">
        <f t="shared" si="3"/>
        <v>Sequential Billing Activity</v>
      </c>
      <c r="L32" s="13" t="str">
        <f t="shared" si="3"/>
        <v>Sequential Billing Activity</v>
      </c>
      <c r="M32" s="13" t="str">
        <f t="shared" si="3"/>
        <v>Sequential Billing Activity</v>
      </c>
      <c r="O32" s="13" t="str">
        <f t="shared" si="1"/>
        <v>Sequential Billing Activity</v>
      </c>
      <c r="R32" s="8"/>
    </row>
    <row r="33" spans="2:18" x14ac:dyDescent="0.25">
      <c r="B33" s="5" t="s">
        <v>48</v>
      </c>
      <c r="C33" s="11" t="s">
        <v>64</v>
      </c>
      <c r="D33" s="13"/>
      <c r="E33" s="13"/>
      <c r="F33" s="27" t="e">
        <v>#N/A</v>
      </c>
      <c r="J33" s="38" t="str">
        <f t="shared" si="2"/>
        <v>MOM Customer Detail: Growers and Shrinkers</v>
      </c>
      <c r="K33" s="13" t="str">
        <f t="shared" si="3"/>
        <v>MOM Customer Detail: Growers and Shrinkers</v>
      </c>
      <c r="L33" s="13" t="str">
        <f t="shared" si="3"/>
        <v>MOM Customer Detail: Growers and Shrinkers</v>
      </c>
      <c r="M33" s="13" t="str">
        <f t="shared" si="3"/>
        <v>MOM Customer Detail: Growers and Shrinkers</v>
      </c>
      <c r="O33" s="13" t="str">
        <f t="shared" si="1"/>
        <v>MOM Customer Detail: Growers and Shrinkers</v>
      </c>
      <c r="R33" s="8"/>
    </row>
    <row r="34" spans="2:18" x14ac:dyDescent="0.25">
      <c r="B34" s="4" t="s">
        <v>49</v>
      </c>
      <c r="C34" s="11" t="s">
        <v>67</v>
      </c>
      <c r="D34" s="13"/>
      <c r="E34" s="13"/>
      <c r="F34" s="27" t="e">
        <v>#N/A</v>
      </c>
      <c r="J34" s="38" t="str">
        <f t="shared" si="2"/>
        <v>Funnel Forecasting Phase II</v>
      </c>
      <c r="K34" s="13" t="str">
        <f t="shared" si="3"/>
        <v>Funnel Forecasting Phase II</v>
      </c>
      <c r="L34" s="13" t="str">
        <f t="shared" si="3"/>
        <v>Funnel Forecasting Phase II</v>
      </c>
      <c r="M34" s="13" t="str">
        <f t="shared" si="3"/>
        <v>Funnel Forecasting Phase II</v>
      </c>
      <c r="O34" s="13" t="str">
        <f t="shared" si="1"/>
        <v>Funnel Forecasting Phase II</v>
      </c>
      <c r="R34" s="8"/>
    </row>
    <row r="35" spans="2:18" x14ac:dyDescent="0.25">
      <c r="B35" s="5" t="s">
        <v>50</v>
      </c>
      <c r="C35" s="11" t="s">
        <v>66</v>
      </c>
      <c r="D35" s="13"/>
      <c r="E35" s="13"/>
      <c r="F35" s="27" t="e">
        <v>#N/A</v>
      </c>
      <c r="J35" s="38" t="str">
        <f t="shared" si="2"/>
        <v>HSI Churn Propensity</v>
      </c>
      <c r="K35" s="13" t="str">
        <f t="shared" si="3"/>
        <v>HSI Churn Propensity</v>
      </c>
      <c r="L35" s="13" t="str">
        <f t="shared" si="3"/>
        <v>HSI Churn Propensity</v>
      </c>
      <c r="M35" s="13" t="str">
        <f t="shared" si="3"/>
        <v>HSI Churn Propensity</v>
      </c>
      <c r="O35" s="13" t="str">
        <f t="shared" si="1"/>
        <v>HSI Churn Propensity</v>
      </c>
      <c r="R35" s="8"/>
    </row>
    <row r="36" spans="2:18" x14ac:dyDescent="0.25">
      <c r="B36" s="4" t="s">
        <v>51</v>
      </c>
      <c r="C36" s="11" t="s">
        <v>66</v>
      </c>
      <c r="D36" s="13"/>
      <c r="E36" s="13"/>
      <c r="F36" s="27" t="e">
        <v>#N/A</v>
      </c>
      <c r="J36" s="38" t="str">
        <f t="shared" si="2"/>
        <v>PMC Phase-2</v>
      </c>
      <c r="K36" s="13" t="str">
        <f t="shared" si="3"/>
        <v>PMC Phase-2</v>
      </c>
      <c r="L36" s="13" t="str">
        <f t="shared" si="3"/>
        <v>PMC Phase-2</v>
      </c>
      <c r="M36" s="13" t="str">
        <f t="shared" si="3"/>
        <v>PMC Phase-2</v>
      </c>
      <c r="O36" s="13" t="str">
        <f t="shared" si="1"/>
        <v>PMC Phase-2</v>
      </c>
      <c r="R36" s="8"/>
    </row>
    <row r="37" spans="2:18" x14ac:dyDescent="0.25">
      <c r="B37" s="1" t="s">
        <v>52</v>
      </c>
      <c r="C37" s="11" t="s">
        <v>63</v>
      </c>
      <c r="D37" s="13"/>
      <c r="E37" s="13"/>
      <c r="F37" s="27" t="s">
        <v>112</v>
      </c>
      <c r="J37" s="38" t="str">
        <f t="shared" si="2"/>
        <v>LCTL BTN churn summary report -Enhancement</v>
      </c>
      <c r="K37" s="13" t="str">
        <f t="shared" si="3"/>
        <v>LCTL BTN churn summary report -Enhancement</v>
      </c>
      <c r="L37" s="13" t="str">
        <f t="shared" si="3"/>
        <v>LCTL BTN churn summary report -Enhancement</v>
      </c>
      <c r="M37" s="13" t="str">
        <f t="shared" si="3"/>
        <v>LCTL BTN churn summary report -Enhancement</v>
      </c>
      <c r="O37" s="13" t="str">
        <f t="shared" si="1"/>
        <v>LCTL BTN churn summary report -Enhancement</v>
      </c>
      <c r="R37" s="8"/>
    </row>
    <row r="38" spans="2:18" x14ac:dyDescent="0.25">
      <c r="B38" s="6" t="s">
        <v>53</v>
      </c>
      <c r="C38" s="11" t="s">
        <v>63</v>
      </c>
      <c r="D38" s="13"/>
      <c r="E38" s="13"/>
      <c r="F38" s="27" t="e">
        <v>#N/A</v>
      </c>
      <c r="J38" s="38" t="str">
        <f t="shared" si="2"/>
        <v>LQ Call Data</v>
      </c>
      <c r="K38" s="13" t="str">
        <f t="shared" si="3"/>
        <v>LQ Call Data</v>
      </c>
      <c r="L38" s="13" t="str">
        <f t="shared" si="3"/>
        <v>LQ Call Data</v>
      </c>
      <c r="M38" s="13" t="str">
        <f t="shared" si="3"/>
        <v>LQ Call Data</v>
      </c>
      <c r="O38" s="13" t="str">
        <f t="shared" si="1"/>
        <v>LQ Call Data</v>
      </c>
      <c r="R38" s="8"/>
    </row>
    <row r="39" spans="2:18" x14ac:dyDescent="0.25">
      <c r="B39" s="6" t="s">
        <v>135</v>
      </c>
      <c r="C39" s="13" t="s">
        <v>63</v>
      </c>
      <c r="D39" s="13"/>
      <c r="E39" s="13"/>
      <c r="F39" s="27" t="s">
        <v>138</v>
      </c>
      <c r="J39" s="38" t="str">
        <f t="shared" si="2"/>
        <v>Promo Usage Tool</v>
      </c>
      <c r="K39" s="13" t="str">
        <f t="shared" si="3"/>
        <v>Promo Usage Tool</v>
      </c>
      <c r="L39" s="13" t="str">
        <f t="shared" si="3"/>
        <v>Promo Usage Tool</v>
      </c>
      <c r="M39" s="13" t="str">
        <f t="shared" si="3"/>
        <v>Promo Usage Tool</v>
      </c>
      <c r="O39" s="13" t="str">
        <f t="shared" si="1"/>
        <v>Promo Usage Tool</v>
      </c>
      <c r="R39" s="8"/>
    </row>
    <row r="40" spans="2:18" x14ac:dyDescent="0.25">
      <c r="B40" s="3" t="s">
        <v>133</v>
      </c>
      <c r="C40" s="11" t="s">
        <v>64</v>
      </c>
      <c r="D40" s="13"/>
      <c r="E40" s="13"/>
      <c r="F40" s="27" t="s">
        <v>107</v>
      </c>
      <c r="J40" s="38" t="s">
        <v>133</v>
      </c>
      <c r="K40" s="13" t="str">
        <f t="shared" si="3"/>
        <v>Sub Group Summary - Vendor Commission Dashboard</v>
      </c>
      <c r="L40" s="13" t="str">
        <f t="shared" si="3"/>
        <v>Sub Group Summary - Vendor Commission Dashboard</v>
      </c>
      <c r="M40" s="13" t="str">
        <f t="shared" si="3"/>
        <v>Sub Group Summary - Vendor Commission Dashboard</v>
      </c>
      <c r="O40" s="13" t="s">
        <v>134</v>
      </c>
      <c r="R40" s="8"/>
    </row>
    <row r="41" spans="2:18" x14ac:dyDescent="0.25">
      <c r="B41" s="3" t="s">
        <v>56</v>
      </c>
      <c r="C41" s="11" t="s">
        <v>67</v>
      </c>
      <c r="D41" s="13"/>
      <c r="E41" s="13"/>
      <c r="F41" s="27" t="e">
        <v>#N/A</v>
      </c>
      <c r="J41" s="38" t="str">
        <f t="shared" si="2"/>
        <v>RR Modelling</v>
      </c>
      <c r="K41" s="13" t="str">
        <f t="shared" si="3"/>
        <v>RR Modelling</v>
      </c>
      <c r="L41" s="13" t="str">
        <f t="shared" si="3"/>
        <v>RR Modelling</v>
      </c>
      <c r="M41" s="13" t="str">
        <f t="shared" si="3"/>
        <v>RR Modelling</v>
      </c>
      <c r="O41" s="13" t="str">
        <f t="shared" si="1"/>
        <v>RR Modelling</v>
      </c>
      <c r="R41" s="8"/>
    </row>
    <row r="42" spans="2:18" x14ac:dyDescent="0.25">
      <c r="B42" s="3" t="s">
        <v>40</v>
      </c>
      <c r="C42" s="11" t="s">
        <v>64</v>
      </c>
      <c r="D42" s="13"/>
      <c r="E42" s="12" t="s">
        <v>187</v>
      </c>
      <c r="F42" s="27" t="s">
        <v>105</v>
      </c>
      <c r="J42" s="38" t="str">
        <f t="shared" si="2"/>
        <v>SMB Product Overview KPIs</v>
      </c>
      <c r="K42" s="13" t="str">
        <f t="shared" si="3"/>
        <v>SMB Product Overview KPIs</v>
      </c>
      <c r="L42" s="13" t="str">
        <f t="shared" si="3"/>
        <v>SMB Product Overview KPIs</v>
      </c>
      <c r="M42" s="13" t="str">
        <f t="shared" si="3"/>
        <v>SMB Product Overview KPIs</v>
      </c>
      <c r="O42" s="13" t="str">
        <f t="shared" si="1"/>
        <v>SMB Product Overview KPIs</v>
      </c>
      <c r="R42" s="8"/>
    </row>
    <row r="43" spans="2:18" x14ac:dyDescent="0.25">
      <c r="B43" s="3" t="s">
        <v>57</v>
      </c>
      <c r="C43" s="11" t="s">
        <v>64</v>
      </c>
      <c r="D43" s="13"/>
      <c r="E43" s="13"/>
      <c r="F43" s="27" t="s">
        <v>160</v>
      </c>
      <c r="G43" s="12"/>
      <c r="J43" s="38" t="str">
        <f t="shared" si="2"/>
        <v>Sequential Billing Activity - Disconnect Analysis</v>
      </c>
      <c r="K43" s="13" t="str">
        <f t="shared" si="3"/>
        <v>Sequential Billing Activity - Disconnect Analysis</v>
      </c>
      <c r="L43" s="13" t="str">
        <f t="shared" si="3"/>
        <v>Sequential Billing Activity - Disconnect Analysis</v>
      </c>
      <c r="M43" s="13" t="str">
        <f t="shared" si="3"/>
        <v>Sequential Billing Activity - Disconnect Analysis</v>
      </c>
      <c r="O43" s="13" t="str">
        <f t="shared" si="1"/>
        <v>Sequential Billing Activity - Disconnect Analysis</v>
      </c>
      <c r="R43" s="8"/>
    </row>
    <row r="44" spans="2:18" x14ac:dyDescent="0.25">
      <c r="B44" s="13" t="s">
        <v>80</v>
      </c>
      <c r="C44" s="13" t="s">
        <v>67</v>
      </c>
      <c r="D44" s="13"/>
      <c r="E44" s="12" t="s">
        <v>187</v>
      </c>
      <c r="F44" s="27" t="e">
        <v>#N/A</v>
      </c>
      <c r="J44" s="39" t="str">
        <f>$B44</f>
        <v>Services for SMB</v>
      </c>
      <c r="K44" s="13" t="str">
        <f t="shared" si="3"/>
        <v>Services for SMB</v>
      </c>
      <c r="L44" s="13" t="str">
        <f t="shared" si="3"/>
        <v>Services for SMB</v>
      </c>
      <c r="M44" s="13" t="str">
        <f t="shared" si="3"/>
        <v>Services for SMB</v>
      </c>
      <c r="O44" s="13" t="str">
        <f t="shared" si="1"/>
        <v>Services for SMB</v>
      </c>
    </row>
    <row r="45" spans="2:18" s="12" customFormat="1" x14ac:dyDescent="0.25">
      <c r="B45" s="34" t="s">
        <v>109</v>
      </c>
      <c r="C45" s="13" t="s">
        <v>67</v>
      </c>
      <c r="D45" s="13"/>
      <c r="E45" s="13"/>
      <c r="F45" s="27" t="s">
        <v>110</v>
      </c>
      <c r="J45" s="40" t="str">
        <f>$B45</f>
        <v>Phase 2: Daily Weekly Monthly Dashboard</v>
      </c>
      <c r="K45" s="32" t="str">
        <f t="shared" ref="K45:M46" si="4">$B45</f>
        <v>Phase 2: Daily Weekly Monthly Dashboard</v>
      </c>
      <c r="L45" s="32" t="str">
        <f t="shared" si="4"/>
        <v>Phase 2: Daily Weekly Monthly Dashboard</v>
      </c>
      <c r="M45" s="13" t="str">
        <f t="shared" si="4"/>
        <v>Phase 2: Daily Weekly Monthly Dashboard</v>
      </c>
      <c r="O45" s="32" t="str">
        <f t="shared" si="1"/>
        <v>Phase 2: Daily Weekly Monthly Dashboard</v>
      </c>
    </row>
    <row r="46" spans="2:18" x14ac:dyDescent="0.25">
      <c r="B46" s="13" t="s">
        <v>186</v>
      </c>
      <c r="C46" s="24" t="s">
        <v>63</v>
      </c>
      <c r="D46" s="13"/>
      <c r="E46" s="13"/>
      <c r="F46" s="27" t="s">
        <v>137</v>
      </c>
      <c r="J46" s="41" t="str">
        <f>$B46</f>
        <v>Clearlink Sales Dashboard</v>
      </c>
      <c r="K46" s="33" t="str">
        <f t="shared" si="4"/>
        <v>Clearlink Sales Dashboard</v>
      </c>
      <c r="L46" s="33" t="str">
        <f t="shared" si="4"/>
        <v>Clearlink Sales Dashboard</v>
      </c>
      <c r="M46" s="13" t="str">
        <f t="shared" si="4"/>
        <v>Clearlink Sales Dashboard</v>
      </c>
      <c r="O46" s="33" t="str">
        <f t="shared" si="1"/>
        <v>Clearlink Sales Dashboard</v>
      </c>
    </row>
    <row r="47" spans="2:18" x14ac:dyDescent="0.25">
      <c r="B47" s="13" t="s">
        <v>120</v>
      </c>
      <c r="C47" s="13" t="s">
        <v>67</v>
      </c>
      <c r="F47" s="27" t="s">
        <v>125</v>
      </c>
      <c r="J47" s="41" t="str">
        <f t="shared" ref="J47:L64" si="5">$B47</f>
        <v>Response Rate Modeling</v>
      </c>
      <c r="K47" s="33" t="str">
        <f t="shared" si="5"/>
        <v>Response Rate Modeling</v>
      </c>
      <c r="L47" s="33" t="str">
        <f t="shared" si="5"/>
        <v>Response Rate Modeling</v>
      </c>
      <c r="M47" s="13" t="str">
        <f t="shared" ref="M47:M64" si="6">$B47</f>
        <v>Response Rate Modeling</v>
      </c>
      <c r="O47" s="33" t="str">
        <f t="shared" si="1"/>
        <v>Response Rate Modeling</v>
      </c>
    </row>
    <row r="48" spans="2:18" x14ac:dyDescent="0.25">
      <c r="B48" s="13" t="s">
        <v>124</v>
      </c>
      <c r="C48" s="13" t="s">
        <v>67</v>
      </c>
      <c r="F48" s="27" t="s">
        <v>121</v>
      </c>
      <c r="J48" s="41" t="str">
        <f t="shared" si="5"/>
        <v>Promo Efficiency Analysis</v>
      </c>
      <c r="K48" s="33" t="str">
        <f t="shared" si="5"/>
        <v>Promo Efficiency Analysis</v>
      </c>
      <c r="L48" s="33" t="str">
        <f t="shared" si="5"/>
        <v>Promo Efficiency Analysis</v>
      </c>
      <c r="M48" s="13" t="str">
        <f t="shared" si="6"/>
        <v>Promo Efficiency Analysis</v>
      </c>
      <c r="O48" s="33" t="str">
        <f t="shared" si="1"/>
        <v>Promo Efficiency Analysis</v>
      </c>
    </row>
    <row r="49" spans="2:15" s="12" customFormat="1" x14ac:dyDescent="0.25">
      <c r="B49" s="33" t="s">
        <v>126</v>
      </c>
      <c r="C49" s="33" t="s">
        <v>67</v>
      </c>
      <c r="F49" s="29" t="s">
        <v>127</v>
      </c>
      <c r="J49" s="40" t="str">
        <f t="shared" si="5"/>
        <v>LQ Call Volume Maintenance</v>
      </c>
      <c r="K49" s="33" t="str">
        <f t="shared" si="5"/>
        <v>LQ Call Volume Maintenance</v>
      </c>
      <c r="L49" s="33" t="str">
        <f t="shared" si="5"/>
        <v>LQ Call Volume Maintenance</v>
      </c>
      <c r="M49" s="13" t="str">
        <f t="shared" si="6"/>
        <v>LQ Call Volume Maintenance</v>
      </c>
      <c r="O49" s="33" t="str">
        <f t="shared" si="1"/>
        <v>LQ Call Volume Maintenance</v>
      </c>
    </row>
    <row r="50" spans="2:15" x14ac:dyDescent="0.25">
      <c r="B50" s="33" t="s">
        <v>129</v>
      </c>
      <c r="C50" s="33" t="s">
        <v>64</v>
      </c>
      <c r="F50" s="29" t="s">
        <v>128</v>
      </c>
      <c r="J50" s="40" t="str">
        <f t="shared" si="5"/>
        <v>Prism PPV VOD Data</v>
      </c>
      <c r="K50" s="33" t="str">
        <f t="shared" si="5"/>
        <v>Prism PPV VOD Data</v>
      </c>
      <c r="L50" s="33" t="str">
        <f t="shared" si="5"/>
        <v>Prism PPV VOD Data</v>
      </c>
      <c r="M50" s="13" t="str">
        <f t="shared" si="6"/>
        <v>Prism PPV VOD Data</v>
      </c>
      <c r="O50" s="33" t="str">
        <f t="shared" si="1"/>
        <v>Prism PPV VOD Data</v>
      </c>
    </row>
    <row r="51" spans="2:15" s="12" customFormat="1" x14ac:dyDescent="0.25">
      <c r="B51" s="33" t="s">
        <v>131</v>
      </c>
      <c r="C51" s="33" t="s">
        <v>65</v>
      </c>
      <c r="F51" s="29" t="s">
        <v>132</v>
      </c>
      <c r="J51" s="40" t="str">
        <f t="shared" si="5"/>
        <v>Agent Promo Usage Tool</v>
      </c>
      <c r="K51" s="33" t="str">
        <f t="shared" si="5"/>
        <v>Agent Promo Usage Tool</v>
      </c>
      <c r="L51" s="33" t="str">
        <f t="shared" si="5"/>
        <v>Agent Promo Usage Tool</v>
      </c>
      <c r="M51" s="13" t="str">
        <f t="shared" si="6"/>
        <v>Agent Promo Usage Tool</v>
      </c>
      <c r="O51" s="33" t="str">
        <f t="shared" si="1"/>
        <v>Agent Promo Usage Tool</v>
      </c>
    </row>
    <row r="52" spans="2:15" s="12" customFormat="1" ht="30" x14ac:dyDescent="0.25">
      <c r="B52" s="33" t="s">
        <v>139</v>
      </c>
      <c r="C52" s="33" t="s">
        <v>67</v>
      </c>
      <c r="F52" s="29" t="s">
        <v>140</v>
      </c>
      <c r="J52" s="42" t="str">
        <f t="shared" si="5"/>
        <v>Customer Segmentation for PPV/VOD Propensity</v>
      </c>
      <c r="K52" s="33" t="str">
        <f t="shared" si="5"/>
        <v>Customer Segmentation for PPV/VOD Propensity</v>
      </c>
      <c r="L52" s="33" t="str">
        <f t="shared" si="5"/>
        <v>Customer Segmentation for PPV/VOD Propensity</v>
      </c>
      <c r="M52" s="13" t="str">
        <f t="shared" si="6"/>
        <v>Customer Segmentation for PPV/VOD Propensity</v>
      </c>
      <c r="O52" s="33" t="str">
        <f t="shared" si="1"/>
        <v>Customer Segmentation for PPV/VOD Propensity</v>
      </c>
    </row>
    <row r="53" spans="2:15" s="12" customFormat="1" x14ac:dyDescent="0.25">
      <c r="B53" s="33" t="s">
        <v>141</v>
      </c>
      <c r="C53" s="33" t="s">
        <v>67</v>
      </c>
      <c r="F53" s="29" t="s">
        <v>142</v>
      </c>
      <c r="J53" s="42" t="str">
        <f t="shared" si="5"/>
        <v>LTV for PRISM</v>
      </c>
      <c r="K53" s="33" t="str">
        <f t="shared" si="5"/>
        <v>LTV for PRISM</v>
      </c>
      <c r="L53" s="33" t="str">
        <f t="shared" si="5"/>
        <v>LTV for PRISM</v>
      </c>
      <c r="M53" s="13" t="str">
        <f t="shared" si="6"/>
        <v>LTV for PRISM</v>
      </c>
      <c r="O53" s="33" t="str">
        <f t="shared" si="1"/>
        <v>LTV for PRISM</v>
      </c>
    </row>
    <row r="54" spans="2:15" x14ac:dyDescent="0.25">
      <c r="B54" s="33" t="s">
        <v>143</v>
      </c>
      <c r="C54" s="33" t="s">
        <v>67</v>
      </c>
      <c r="D54" s="12"/>
      <c r="E54" s="12"/>
      <c r="F54" s="29" t="s">
        <v>144</v>
      </c>
      <c r="J54" s="42" t="str">
        <f t="shared" si="5"/>
        <v>Profiling PRISM Customer</v>
      </c>
      <c r="K54" s="33" t="str">
        <f t="shared" si="5"/>
        <v>Profiling PRISM Customer</v>
      </c>
      <c r="L54" s="33" t="str">
        <f t="shared" si="5"/>
        <v>Profiling PRISM Customer</v>
      </c>
      <c r="M54" s="13" t="str">
        <f t="shared" si="6"/>
        <v>Profiling PRISM Customer</v>
      </c>
      <c r="O54" s="33" t="str">
        <f t="shared" si="1"/>
        <v>Profiling PRISM Customer</v>
      </c>
    </row>
    <row r="55" spans="2:15" s="12" customFormat="1" x14ac:dyDescent="0.25">
      <c r="B55" s="33" t="s">
        <v>147</v>
      </c>
      <c r="C55" s="33" t="s">
        <v>65</v>
      </c>
      <c r="F55" s="29"/>
      <c r="J55" s="42" t="str">
        <f t="shared" si="5"/>
        <v>Business Workfile</v>
      </c>
      <c r="K55" s="33" t="str">
        <f t="shared" si="5"/>
        <v>Business Workfile</v>
      </c>
      <c r="L55" s="33" t="str">
        <f t="shared" si="5"/>
        <v>Business Workfile</v>
      </c>
      <c r="M55" s="13" t="str">
        <f t="shared" si="6"/>
        <v>Business Workfile</v>
      </c>
      <c r="O55" s="33" t="str">
        <f t="shared" si="1"/>
        <v>Business Workfile</v>
      </c>
    </row>
    <row r="56" spans="2:15" s="12" customFormat="1" x14ac:dyDescent="0.25">
      <c r="B56" s="33" t="s">
        <v>148</v>
      </c>
      <c r="C56" s="33" t="s">
        <v>149</v>
      </c>
      <c r="E56" s="12" t="s">
        <v>187</v>
      </c>
      <c r="F56" s="29" t="s">
        <v>150</v>
      </c>
      <c r="J56" s="42" t="str">
        <f t="shared" si="5"/>
        <v>close rate dashboard</v>
      </c>
      <c r="K56" s="33" t="str">
        <f t="shared" si="5"/>
        <v>close rate dashboard</v>
      </c>
      <c r="L56" s="33" t="str">
        <f t="shared" si="5"/>
        <v>close rate dashboard</v>
      </c>
      <c r="M56" s="13" t="str">
        <f t="shared" si="6"/>
        <v>close rate dashboard</v>
      </c>
      <c r="O56" s="33" t="str">
        <f t="shared" si="1"/>
        <v>close rate dashboard</v>
      </c>
    </row>
    <row r="57" spans="2:15" s="12" customFormat="1" x14ac:dyDescent="0.25">
      <c r="B57" s="33" t="s">
        <v>151</v>
      </c>
      <c r="C57" s="33" t="s">
        <v>67</v>
      </c>
      <c r="E57" s="12" t="s">
        <v>187</v>
      </c>
      <c r="F57" s="29" t="s">
        <v>152</v>
      </c>
      <c r="J57" s="42" t="str">
        <f t="shared" si="5"/>
        <v>Campign Mangement Tool</v>
      </c>
      <c r="K57" s="33" t="str">
        <f t="shared" si="5"/>
        <v>Campign Mangement Tool</v>
      </c>
      <c r="L57" s="33" t="str">
        <f t="shared" si="5"/>
        <v>Campign Mangement Tool</v>
      </c>
      <c r="M57" s="13" t="str">
        <f t="shared" si="6"/>
        <v>Campign Mangement Tool</v>
      </c>
      <c r="O57" s="33" t="str">
        <f t="shared" si="1"/>
        <v>Campign Mangement Tool</v>
      </c>
    </row>
    <row r="58" spans="2:15" s="12" customFormat="1" x14ac:dyDescent="0.25">
      <c r="B58" s="33" t="s">
        <v>155</v>
      </c>
      <c r="C58" s="33" t="s">
        <v>63</v>
      </c>
      <c r="F58" s="29" t="s">
        <v>156</v>
      </c>
      <c r="J58" s="42" t="str">
        <f t="shared" si="5"/>
        <v>Phase 2: CC dashboard:CRIS Side implementation</v>
      </c>
      <c r="K58" s="33" t="str">
        <f t="shared" si="5"/>
        <v>Phase 2: CC dashboard:CRIS Side implementation</v>
      </c>
      <c r="L58" s="33" t="str">
        <f t="shared" si="5"/>
        <v>Phase 2: CC dashboard:CRIS Side implementation</v>
      </c>
      <c r="M58" s="33" t="str">
        <f t="shared" si="6"/>
        <v>Phase 2: CC dashboard:CRIS Side implementation</v>
      </c>
      <c r="O58" s="33" t="str">
        <f t="shared" si="1"/>
        <v>Phase 2: CC dashboard:CRIS Side implementation</v>
      </c>
    </row>
    <row r="59" spans="2:15" s="12" customFormat="1" x14ac:dyDescent="0.25">
      <c r="B59" s="33" t="s">
        <v>154</v>
      </c>
      <c r="C59" s="33" t="s">
        <v>64</v>
      </c>
      <c r="F59" s="29" t="s">
        <v>157</v>
      </c>
      <c r="J59" s="42" t="str">
        <f t="shared" si="5"/>
        <v>Promo Roll Off</v>
      </c>
      <c r="K59" s="33" t="str">
        <f t="shared" si="5"/>
        <v>Promo Roll Off</v>
      </c>
      <c r="L59" s="33" t="str">
        <f t="shared" si="5"/>
        <v>Promo Roll Off</v>
      </c>
      <c r="M59" s="33" t="str">
        <f t="shared" si="6"/>
        <v>Promo Roll Off</v>
      </c>
      <c r="O59" s="33" t="str">
        <f t="shared" si="1"/>
        <v>Promo Roll Off</v>
      </c>
    </row>
    <row r="60" spans="2:15" s="12" customFormat="1" x14ac:dyDescent="0.25">
      <c r="B60" s="33" t="s">
        <v>161</v>
      </c>
      <c r="C60" s="33" t="s">
        <v>67</v>
      </c>
      <c r="F60" s="29" t="s">
        <v>162</v>
      </c>
      <c r="J60" s="42" t="str">
        <f t="shared" si="5"/>
        <v>Process Measurements</v>
      </c>
      <c r="K60" s="33" t="str">
        <f t="shared" si="5"/>
        <v>Process Measurements</v>
      </c>
      <c r="L60" s="33" t="str">
        <f t="shared" si="5"/>
        <v>Process Measurements</v>
      </c>
      <c r="M60" s="33" t="str">
        <f t="shared" si="6"/>
        <v>Process Measurements</v>
      </c>
      <c r="O60" s="33" t="str">
        <f t="shared" si="1"/>
        <v>Process Measurements</v>
      </c>
    </row>
    <row r="61" spans="2:15" s="12" customFormat="1" x14ac:dyDescent="0.25">
      <c r="B61" s="33" t="s">
        <v>163</v>
      </c>
      <c r="C61" s="33" t="s">
        <v>64</v>
      </c>
      <c r="F61" s="29"/>
      <c r="J61" s="42" t="str">
        <f t="shared" si="5"/>
        <v>Pending Order Analysis</v>
      </c>
      <c r="K61" s="33" t="str">
        <f t="shared" si="5"/>
        <v>Pending Order Analysis</v>
      </c>
      <c r="L61" s="33" t="str">
        <f t="shared" si="5"/>
        <v>Pending Order Analysis</v>
      </c>
      <c r="M61" s="33" t="str">
        <f t="shared" si="6"/>
        <v>Pending Order Analysis</v>
      </c>
      <c r="O61" s="33" t="str">
        <f t="shared" si="1"/>
        <v>Pending Order Analysis</v>
      </c>
    </row>
    <row r="62" spans="2:15" s="12" customFormat="1" x14ac:dyDescent="0.25">
      <c r="B62" s="33" t="s">
        <v>164</v>
      </c>
      <c r="C62" s="33" t="s">
        <v>67</v>
      </c>
      <c r="F62" s="29"/>
      <c r="J62" s="42" t="str">
        <f t="shared" si="5"/>
        <v>EPGIC</v>
      </c>
      <c r="K62" s="33" t="str">
        <f t="shared" si="5"/>
        <v>EPGIC</v>
      </c>
      <c r="L62" s="33" t="str">
        <f t="shared" si="5"/>
        <v>EPGIC</v>
      </c>
      <c r="M62" s="33" t="str">
        <f t="shared" si="6"/>
        <v>EPGIC</v>
      </c>
      <c r="O62" s="33" t="str">
        <f t="shared" si="1"/>
        <v>EPGIC</v>
      </c>
    </row>
    <row r="63" spans="2:15" s="12" customFormat="1" x14ac:dyDescent="0.25">
      <c r="B63" s="33" t="s">
        <v>165</v>
      </c>
      <c r="C63" s="33" t="s">
        <v>67</v>
      </c>
      <c r="F63" s="29"/>
      <c r="J63" s="42" t="str">
        <f t="shared" si="5"/>
        <v>Vendor Performance Analysis</v>
      </c>
      <c r="K63" s="33" t="str">
        <f t="shared" si="5"/>
        <v>Vendor Performance Analysis</v>
      </c>
      <c r="L63" s="33" t="str">
        <f t="shared" si="5"/>
        <v>Vendor Performance Analysis</v>
      </c>
      <c r="M63" s="33" t="str">
        <f t="shared" si="6"/>
        <v>Vendor Performance Analysis</v>
      </c>
      <c r="O63" s="33" t="str">
        <f t="shared" si="1"/>
        <v>Vendor Performance Analysis</v>
      </c>
    </row>
    <row r="64" spans="2:15" s="12" customFormat="1" x14ac:dyDescent="0.25">
      <c r="B64" s="33" t="s">
        <v>167</v>
      </c>
      <c r="C64" s="33" t="s">
        <v>67</v>
      </c>
      <c r="F64" s="29"/>
      <c r="J64" s="42" t="str">
        <f t="shared" si="5"/>
        <v>New KPI Design</v>
      </c>
      <c r="K64" s="33" t="str">
        <f t="shared" si="5"/>
        <v>New KPI Design</v>
      </c>
      <c r="L64" s="33" t="str">
        <f t="shared" si="5"/>
        <v>New KPI Design</v>
      </c>
      <c r="M64" s="33" t="str">
        <f t="shared" si="6"/>
        <v>New KPI Design</v>
      </c>
      <c r="O64" s="33" t="str">
        <f t="shared" si="1"/>
        <v>New KPI Design</v>
      </c>
    </row>
    <row r="65" spans="2:15" x14ac:dyDescent="0.25">
      <c r="B65" s="33" t="s">
        <v>168</v>
      </c>
      <c r="C65" s="33" t="s">
        <v>67</v>
      </c>
      <c r="J65" s="42" t="str">
        <f t="shared" ref="J65:M76" si="7">$B65</f>
        <v>HSI CUSTOMER SEGMENTATION</v>
      </c>
      <c r="K65" s="33" t="str">
        <f t="shared" si="7"/>
        <v>HSI CUSTOMER SEGMENTATION</v>
      </c>
      <c r="L65" s="33" t="str">
        <f t="shared" si="7"/>
        <v>HSI CUSTOMER SEGMENTATION</v>
      </c>
      <c r="M65" s="33" t="str">
        <f t="shared" si="7"/>
        <v>HSI CUSTOMER SEGMENTATION</v>
      </c>
      <c r="O65" s="33" t="str">
        <f t="shared" ref="O65:O76" si="8">$B65</f>
        <v>HSI CUSTOMER SEGMENTATION</v>
      </c>
    </row>
    <row r="66" spans="2:15" s="12" customFormat="1" x14ac:dyDescent="0.25">
      <c r="B66" s="33" t="s">
        <v>170</v>
      </c>
      <c r="C66" s="33" t="s">
        <v>67</v>
      </c>
      <c r="F66" s="29"/>
      <c r="J66" s="42" t="str">
        <f t="shared" si="7"/>
        <v>Retention and Active HSI Dashboard</v>
      </c>
      <c r="K66" s="33" t="str">
        <f t="shared" si="7"/>
        <v>Retention and Active HSI Dashboard</v>
      </c>
      <c r="L66" s="33" t="str">
        <f t="shared" si="7"/>
        <v>Retention and Active HSI Dashboard</v>
      </c>
      <c r="M66" s="33" t="str">
        <f t="shared" si="7"/>
        <v>Retention and Active HSI Dashboard</v>
      </c>
      <c r="O66" s="33" t="str">
        <f t="shared" si="8"/>
        <v>Retention and Active HSI Dashboard</v>
      </c>
    </row>
    <row r="67" spans="2:15" x14ac:dyDescent="0.25">
      <c r="B67" s="33" t="s">
        <v>171</v>
      </c>
      <c r="C67" s="33" t="s">
        <v>67</v>
      </c>
      <c r="J67" s="42" t="str">
        <f t="shared" si="7"/>
        <v>Agent Promo Usage Tool - Phase-3</v>
      </c>
      <c r="K67" s="33" t="str">
        <f t="shared" si="7"/>
        <v>Agent Promo Usage Tool - Phase-3</v>
      </c>
      <c r="L67" s="33" t="str">
        <f t="shared" si="7"/>
        <v>Agent Promo Usage Tool - Phase-3</v>
      </c>
      <c r="M67" s="33" t="str">
        <f t="shared" si="7"/>
        <v>Agent Promo Usage Tool - Phase-3</v>
      </c>
      <c r="O67" s="33" t="str">
        <f t="shared" si="8"/>
        <v>Agent Promo Usage Tool - Phase-3</v>
      </c>
    </row>
    <row r="68" spans="2:15" x14ac:dyDescent="0.25">
      <c r="B68" s="33" t="s">
        <v>172</v>
      </c>
      <c r="C68" s="33" t="s">
        <v>67</v>
      </c>
      <c r="E68" s="12" t="s">
        <v>187</v>
      </c>
      <c r="J68" s="42" t="str">
        <f t="shared" si="7"/>
        <v>DM Matrix Automation</v>
      </c>
      <c r="K68" s="33" t="str">
        <f t="shared" si="7"/>
        <v>DM Matrix Automation</v>
      </c>
      <c r="L68" s="33" t="str">
        <f t="shared" si="7"/>
        <v>DM Matrix Automation</v>
      </c>
      <c r="M68" s="33" t="str">
        <f t="shared" si="7"/>
        <v>DM Matrix Automation</v>
      </c>
      <c r="O68" s="33" t="str">
        <f t="shared" si="8"/>
        <v>DM Matrix Automation</v>
      </c>
    </row>
    <row r="69" spans="2:15" x14ac:dyDescent="0.25">
      <c r="B69" s="33" t="s">
        <v>174</v>
      </c>
      <c r="C69" s="33" t="s">
        <v>67</v>
      </c>
      <c r="J69" s="42" t="str">
        <f t="shared" si="7"/>
        <v>Managed Office</v>
      </c>
      <c r="K69" s="33" t="str">
        <f t="shared" si="7"/>
        <v>Managed Office</v>
      </c>
      <c r="L69" s="33" t="str">
        <f t="shared" si="7"/>
        <v>Managed Office</v>
      </c>
      <c r="M69" s="33" t="str">
        <f t="shared" si="7"/>
        <v>Managed Office</v>
      </c>
      <c r="O69" s="33" t="str">
        <f t="shared" si="8"/>
        <v>Managed Office</v>
      </c>
    </row>
    <row r="70" spans="2:15" s="12" customFormat="1" x14ac:dyDescent="0.25">
      <c r="B70" s="33" t="s">
        <v>175</v>
      </c>
      <c r="C70" s="33" t="s">
        <v>173</v>
      </c>
      <c r="F70" s="29"/>
      <c r="J70" s="42" t="str">
        <f t="shared" si="7"/>
        <v>Consolidated Churn Dashboard</v>
      </c>
      <c r="K70" s="33" t="str">
        <f t="shared" si="7"/>
        <v>Consolidated Churn Dashboard</v>
      </c>
      <c r="L70" s="33" t="str">
        <f t="shared" si="7"/>
        <v>Consolidated Churn Dashboard</v>
      </c>
      <c r="M70" s="33" t="str">
        <f t="shared" si="7"/>
        <v>Consolidated Churn Dashboard</v>
      </c>
      <c r="O70" s="33" t="str">
        <f t="shared" si="8"/>
        <v>Consolidated Churn Dashboard</v>
      </c>
    </row>
    <row r="71" spans="2:15" s="12" customFormat="1" x14ac:dyDescent="0.25">
      <c r="B71" s="33" t="s">
        <v>36</v>
      </c>
      <c r="C71" s="33" t="s">
        <v>64</v>
      </c>
      <c r="F71" s="29"/>
      <c r="J71" s="42" t="str">
        <f t="shared" si="7"/>
        <v>Porting Report</v>
      </c>
      <c r="K71" s="33" t="str">
        <f t="shared" si="7"/>
        <v>Porting Report</v>
      </c>
      <c r="L71" s="33" t="str">
        <f t="shared" si="7"/>
        <v>Porting Report</v>
      </c>
      <c r="M71" s="33" t="str">
        <f t="shared" si="7"/>
        <v>Porting Report</v>
      </c>
      <c r="O71" s="33" t="str">
        <f t="shared" si="8"/>
        <v>Porting Report</v>
      </c>
    </row>
    <row r="72" spans="2:15" x14ac:dyDescent="0.25">
      <c r="B72" s="12" t="s">
        <v>170</v>
      </c>
      <c r="C72" s="33" t="s">
        <v>149</v>
      </c>
      <c r="F72" s="55" t="s">
        <v>178</v>
      </c>
      <c r="J72" s="42" t="str">
        <f t="shared" si="7"/>
        <v>Retention and Active HSI Dashboard</v>
      </c>
      <c r="K72" s="33" t="str">
        <f t="shared" si="7"/>
        <v>Retention and Active HSI Dashboard</v>
      </c>
      <c r="L72" s="33" t="str">
        <f t="shared" si="7"/>
        <v>Retention and Active HSI Dashboard</v>
      </c>
      <c r="M72" s="33" t="str">
        <f t="shared" si="7"/>
        <v>Retention and Active HSI Dashboard</v>
      </c>
      <c r="N72" s="12"/>
      <c r="O72" s="33" t="str">
        <f t="shared" si="8"/>
        <v>Retention and Active HSI Dashboard</v>
      </c>
    </row>
    <row r="73" spans="2:15" x14ac:dyDescent="0.25">
      <c r="B73" s="12" t="s">
        <v>179</v>
      </c>
      <c r="C73" s="33" t="s">
        <v>63</v>
      </c>
      <c r="F73" s="12" t="s">
        <v>177</v>
      </c>
      <c r="J73" s="42" t="str">
        <f t="shared" si="7"/>
        <v>ENS Vacation Incentive Report</v>
      </c>
      <c r="K73" s="33" t="str">
        <f t="shared" si="7"/>
        <v>ENS Vacation Incentive Report</v>
      </c>
      <c r="L73" s="33" t="str">
        <f t="shared" si="7"/>
        <v>ENS Vacation Incentive Report</v>
      </c>
      <c r="M73" s="33" t="str">
        <f t="shared" si="7"/>
        <v>ENS Vacation Incentive Report</v>
      </c>
      <c r="N73" s="12"/>
      <c r="O73" s="33" t="str">
        <f t="shared" si="8"/>
        <v>ENS Vacation Incentive Report</v>
      </c>
    </row>
    <row r="74" spans="2:15" s="12" customFormat="1" x14ac:dyDescent="0.25">
      <c r="B74" s="23" t="s">
        <v>180</v>
      </c>
      <c r="C74" s="33" t="s">
        <v>67</v>
      </c>
      <c r="F74" s="29" t="s">
        <v>181</v>
      </c>
      <c r="J74" s="42" t="str">
        <f t="shared" si="7"/>
        <v>HR analytics</v>
      </c>
      <c r="K74" s="33" t="str">
        <f t="shared" si="7"/>
        <v>HR analytics</v>
      </c>
      <c r="L74" s="33" t="str">
        <f t="shared" si="7"/>
        <v>HR analytics</v>
      </c>
      <c r="M74" s="33" t="str">
        <f t="shared" si="7"/>
        <v>HR analytics</v>
      </c>
      <c r="O74" s="33" t="str">
        <f t="shared" si="8"/>
        <v>HR analytics</v>
      </c>
    </row>
    <row r="75" spans="2:15" s="12" customFormat="1" x14ac:dyDescent="0.25">
      <c r="B75" s="23" t="s">
        <v>182</v>
      </c>
      <c r="C75" s="33" t="s">
        <v>63</v>
      </c>
      <c r="F75" s="29" t="s">
        <v>183</v>
      </c>
      <c r="J75" s="42" t="str">
        <f t="shared" si="7"/>
        <v>QC-Business workfile</v>
      </c>
      <c r="K75" s="33" t="str">
        <f t="shared" si="7"/>
        <v>QC-Business workfile</v>
      </c>
      <c r="L75" s="33" t="str">
        <f t="shared" si="7"/>
        <v>QC-Business workfile</v>
      </c>
      <c r="M75" s="33" t="str">
        <f t="shared" si="7"/>
        <v>QC-Business workfile</v>
      </c>
      <c r="O75" s="33" t="str">
        <f t="shared" si="8"/>
        <v>QC-Business workfile</v>
      </c>
    </row>
    <row r="76" spans="2:15" x14ac:dyDescent="0.25">
      <c r="B76" s="23" t="s">
        <v>185</v>
      </c>
      <c r="C76" s="32" t="s">
        <v>67</v>
      </c>
      <c r="J76" s="42" t="str">
        <f t="shared" si="7"/>
        <v>Growers and Shrinkers</v>
      </c>
      <c r="K76" s="33" t="str">
        <f t="shared" si="7"/>
        <v>Growers and Shrinkers</v>
      </c>
      <c r="L76" s="33" t="str">
        <f t="shared" si="7"/>
        <v>Growers and Shrinkers</v>
      </c>
      <c r="M76" s="33" t="str">
        <f t="shared" si="7"/>
        <v>Growers and Shrinkers</v>
      </c>
      <c r="O76" s="33" t="str">
        <f t="shared" si="8"/>
        <v>Growers and Shrinkers</v>
      </c>
    </row>
    <row r="77" spans="2:15" s="12" customFormat="1" x14ac:dyDescent="0.25">
      <c r="B77" s="23" t="s">
        <v>188</v>
      </c>
      <c r="C77" s="32" t="s">
        <v>67</v>
      </c>
      <c r="F77" s="29"/>
      <c r="J77" s="42" t="str">
        <f t="shared" ref="J77:M80" si="9">$B77</f>
        <v>Retention package automation</v>
      </c>
      <c r="K77" s="33" t="str">
        <f t="shared" si="9"/>
        <v>Retention package automation</v>
      </c>
      <c r="L77" s="33" t="str">
        <f t="shared" si="9"/>
        <v>Retention package automation</v>
      </c>
      <c r="M77" s="33" t="str">
        <f t="shared" si="9"/>
        <v>Retention package automation</v>
      </c>
      <c r="O77" s="33" t="str">
        <f>$B77</f>
        <v>Retention package automation</v>
      </c>
    </row>
    <row r="78" spans="2:15" s="12" customFormat="1" x14ac:dyDescent="0.25">
      <c r="B78" s="23" t="s">
        <v>189</v>
      </c>
      <c r="C78" s="33" t="s">
        <v>64</v>
      </c>
      <c r="E78" s="12" t="s">
        <v>187</v>
      </c>
      <c r="F78" s="29"/>
      <c r="J78" s="42" t="str">
        <f t="shared" si="9"/>
        <v>Digital Berry call lists</v>
      </c>
      <c r="K78" s="33" t="str">
        <f t="shared" si="9"/>
        <v>Digital Berry call lists</v>
      </c>
      <c r="L78" s="33" t="str">
        <f t="shared" si="9"/>
        <v>Digital Berry call lists</v>
      </c>
      <c r="M78" s="33" t="str">
        <f t="shared" si="9"/>
        <v>Digital Berry call lists</v>
      </c>
      <c r="O78" s="33" t="str">
        <f>$B78</f>
        <v>Digital Berry call lists</v>
      </c>
    </row>
    <row r="79" spans="2:15" s="12" customFormat="1" x14ac:dyDescent="0.25">
      <c r="B79" s="23" t="s">
        <v>192</v>
      </c>
      <c r="C79" s="33" t="s">
        <v>63</v>
      </c>
      <c r="E79" s="12" t="s">
        <v>184</v>
      </c>
      <c r="F79" s="29" t="s">
        <v>191</v>
      </c>
      <c r="J79" s="42" t="str">
        <f t="shared" si="9"/>
        <v>GPON Sales Compensation</v>
      </c>
      <c r="K79" s="33" t="str">
        <f t="shared" si="9"/>
        <v>GPON Sales Compensation</v>
      </c>
      <c r="L79" s="33" t="str">
        <f t="shared" si="9"/>
        <v>GPON Sales Compensation</v>
      </c>
      <c r="M79" s="33" t="str">
        <f t="shared" si="9"/>
        <v>GPON Sales Compensation</v>
      </c>
      <c r="O79" s="33" t="str">
        <f>$B79</f>
        <v>GPON Sales Compensation</v>
      </c>
    </row>
    <row r="80" spans="2:15" s="12" customFormat="1" x14ac:dyDescent="0.25">
      <c r="B80" s="23" t="s">
        <v>213</v>
      </c>
      <c r="C80" s="33" t="s">
        <v>67</v>
      </c>
      <c r="E80" s="12" t="s">
        <v>184</v>
      </c>
      <c r="F80" s="29" t="s">
        <v>214</v>
      </c>
      <c r="J80" s="42" t="str">
        <f t="shared" si="9"/>
        <v>Kaggle Competition</v>
      </c>
      <c r="K80" s="33" t="str">
        <f t="shared" si="9"/>
        <v>Kaggle Competition</v>
      </c>
      <c r="L80" s="33" t="str">
        <f t="shared" si="9"/>
        <v>Kaggle Competition</v>
      </c>
      <c r="M80" s="33" t="str">
        <f t="shared" si="9"/>
        <v>Kaggle Competition</v>
      </c>
      <c r="O80" s="33" t="str">
        <f>$B80</f>
        <v>Kaggle Competition</v>
      </c>
    </row>
    <row r="81" spans="2:15" s="12" customFormat="1" x14ac:dyDescent="0.25">
      <c r="B81" s="23" t="s">
        <v>220</v>
      </c>
      <c r="C81" s="33" t="s">
        <v>67</v>
      </c>
      <c r="E81" s="12" t="s">
        <v>187</v>
      </c>
      <c r="F81" s="29" t="s">
        <v>221</v>
      </c>
      <c r="J81" s="42" t="str">
        <f>$B81</f>
        <v>CRIS CBB OFFSHORE REQUEST</v>
      </c>
      <c r="K81" s="33" t="str">
        <f>$B81</f>
        <v>CRIS CBB OFFSHORE REQUEST</v>
      </c>
      <c r="L81" s="33" t="str">
        <f>$B81</f>
        <v>CRIS CBB OFFSHORE REQUEST</v>
      </c>
      <c r="M81" s="33" t="str">
        <f>$B81</f>
        <v>CRIS CBB OFFSHORE REQUEST</v>
      </c>
      <c r="O81" s="33" t="str">
        <f>$B81</f>
        <v>CRIS CBB OFFSHORE REQUEST</v>
      </c>
    </row>
    <row r="82" spans="2:15" x14ac:dyDescent="0.25">
      <c r="B82" s="23" t="s">
        <v>222</v>
      </c>
      <c r="C82" s="33" t="s">
        <v>67</v>
      </c>
      <c r="E82" s="12" t="s">
        <v>187</v>
      </c>
      <c r="F82" s="29" t="s">
        <v>223</v>
      </c>
      <c r="J82" s="42" t="str">
        <f t="shared" ref="J82:K85" si="10">$B82</f>
        <v>Segmentation and geo-targeting of customers</v>
      </c>
      <c r="K82" s="33" t="str">
        <f t="shared" si="10"/>
        <v>Segmentation and geo-targeting of customers</v>
      </c>
      <c r="L82" s="33" t="str">
        <f t="shared" ref="L82:L85" si="11">$B82</f>
        <v>Segmentation and geo-targeting of customers</v>
      </c>
      <c r="M82" s="33" t="str">
        <f>$B82</f>
        <v>Segmentation and geo-targeting of customers</v>
      </c>
      <c r="O82" s="33" t="str">
        <f t="shared" ref="O82:O85" si="12">$B82</f>
        <v>Segmentation and geo-targeting of customers</v>
      </c>
    </row>
    <row r="83" spans="2:15" s="12" customFormat="1" x14ac:dyDescent="0.25">
      <c r="B83" s="23" t="s">
        <v>228</v>
      </c>
      <c r="C83" s="33" t="s">
        <v>67</v>
      </c>
      <c r="E83" s="12" t="s">
        <v>187</v>
      </c>
      <c r="F83" s="29" t="s">
        <v>229</v>
      </c>
      <c r="J83" s="42" t="str">
        <f t="shared" si="10"/>
        <v>CMS DSR</v>
      </c>
      <c r="K83" s="33" t="str">
        <f t="shared" si="10"/>
        <v>CMS DSR</v>
      </c>
      <c r="L83" s="33" t="str">
        <f t="shared" si="11"/>
        <v>CMS DSR</v>
      </c>
      <c r="M83" s="33" t="str">
        <f>$B83</f>
        <v>CMS DSR</v>
      </c>
      <c r="O83" s="33" t="str">
        <f t="shared" si="12"/>
        <v>CMS DSR</v>
      </c>
    </row>
    <row r="84" spans="2:15" s="12" customFormat="1" x14ac:dyDescent="0.25">
      <c r="B84" s="23" t="s">
        <v>231</v>
      </c>
      <c r="F84" s="29" t="s">
        <v>232</v>
      </c>
      <c r="J84" s="42" t="str">
        <f t="shared" si="10"/>
        <v>Disconnect reasons trend</v>
      </c>
      <c r="K84" s="33" t="str">
        <f t="shared" si="10"/>
        <v>Disconnect reasons trend</v>
      </c>
      <c r="L84" s="33" t="str">
        <f t="shared" si="11"/>
        <v>Disconnect reasons trend</v>
      </c>
      <c r="M84" s="33" t="str">
        <f>$B84</f>
        <v>Disconnect reasons trend</v>
      </c>
      <c r="O84" s="33" t="str">
        <f t="shared" si="12"/>
        <v>Disconnect reasons trend</v>
      </c>
    </row>
    <row r="85" spans="2:15" s="12" customFormat="1" x14ac:dyDescent="0.25">
      <c r="B85" s="23" t="s">
        <v>236</v>
      </c>
      <c r="F85" s="29"/>
      <c r="J85" s="42" t="str">
        <f t="shared" si="10"/>
        <v>All Projects</v>
      </c>
      <c r="K85" s="33" t="str">
        <f t="shared" si="10"/>
        <v>All Projects</v>
      </c>
      <c r="L85" s="33" t="str">
        <f t="shared" si="11"/>
        <v>All Projects</v>
      </c>
      <c r="M85" s="33" t="str">
        <f>$B85</f>
        <v>All Projects</v>
      </c>
      <c r="O85" s="33" t="str">
        <f t="shared" si="12"/>
        <v>All Projects</v>
      </c>
    </row>
  </sheetData>
  <autoFilter ref="A1:F85"/>
  <dataConsolidate/>
  <customSheetViews>
    <customSheetView guid="{0459E885-E56D-4233-A463-CDACB82F3A71}" scale="80" showAutoFilter="1" topLeftCell="A55">
      <selection activeCell="E89" sqref="E89"/>
      <pageMargins left="0.7" right="0.7" top="0.75" bottom="0.75" header="0.3" footer="0.3"/>
      <pageSetup orientation="portrait" r:id="rId1"/>
      <autoFilter ref="A1:F85"/>
    </customSheetView>
    <customSheetView guid="{D31A0C38-2BF3-428E-8B63-7EF803410846}" hiddenColumns="1" topLeftCell="O1">
      <selection activeCell="P23" sqref="P23"/>
      <pageMargins left="0.7" right="0.7" top="0.75" bottom="0.75" header="0.3" footer="0.3"/>
      <pageSetup orientation="portrait" r:id="rId2"/>
    </customSheetView>
    <customSheetView guid="{39AFBFEA-9E3B-4D39-9A52-E97212B04C3B}" hiddenColumns="1" topLeftCell="L2">
      <selection activeCell="I64" sqref="I64"/>
      <pageMargins left="0.7" right="0.7" top="0.75" bottom="0.75" header="0.3" footer="0.3"/>
      <pageSetup orientation="portrait" r:id="rId3"/>
    </customSheetView>
    <customSheetView guid="{5E4851DA-2CDD-4E0B-A9F2-CF05D4206F60}" scale="70" hiddenColumns="1" topLeftCell="A27">
      <selection activeCell="B41" sqref="B41:F41"/>
      <pageMargins left="0.7" right="0.7" top="0.75" bottom="0.75" header="0.3" footer="0.3"/>
      <pageSetup orientation="portrait" r:id="rId4"/>
    </customSheetView>
    <customSheetView guid="{CAAB4857-130C-45CF-BDB7-F4543166DC3F}" topLeftCell="B55">
      <selection activeCell="D67" sqref="D66:D67"/>
      <pageMargins left="0.7" right="0.7" top="0.75" bottom="0.75" header="0.3" footer="0.3"/>
      <pageSetup orientation="portrait" r:id="rId5"/>
    </customSheetView>
    <customSheetView guid="{E72D1D85-DDEA-47FF-9C0A-B8A16DD802DE}" scale="80" showAutoFilter="1" topLeftCell="A55">
      <selection activeCell="E89" sqref="E89"/>
      <pageMargins left="0.7" right="0.7" top="0.75" bottom="0.75" header="0.3" footer="0.3"/>
      <pageSetup orientation="portrait" r:id="rId6"/>
      <autoFilter ref="A1:F85"/>
    </customSheetView>
  </customSheetViews>
  <dataValidations count="6">
    <dataValidation type="list" allowBlank="1" showInputMessage="1" showErrorMessage="1" sqref="O2">
      <formula1>$M$2:$M$44</formula1>
    </dataValidation>
    <dataValidation type="list" allowBlank="1" showInputMessage="1" showErrorMessage="1" sqref="B2">
      <formula1>$B$2:$B$44</formula1>
    </dataValidation>
    <dataValidation type="list" allowBlank="1" showInputMessage="1" showErrorMessage="1" sqref="J2">
      <formula1>$J$2:$J$44</formula1>
    </dataValidation>
    <dataValidation type="list" allowBlank="1" showInputMessage="1" showErrorMessage="1" sqref="K2">
      <formula1>$K$2:$K$44</formula1>
    </dataValidation>
    <dataValidation type="list" allowBlank="1" showInputMessage="1" showErrorMessage="1" sqref="L2:M2 M3:M64">
      <formula1>$L$2:$L$44</formula1>
    </dataValidation>
    <dataValidation type="list" allowBlank="1" showInputMessage="1" showErrorMessage="1" sqref="C2">
      <formula1>$C$2:$C$44</formula1>
    </dataValidation>
  </dataValidation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42"/>
  <sheetViews>
    <sheetView topLeftCell="A181" zoomScaleNormal="100" workbookViewId="0">
      <selection activeCell="D212" sqref="D212"/>
    </sheetView>
  </sheetViews>
  <sheetFormatPr defaultColWidth="20.7109375" defaultRowHeight="15" x14ac:dyDescent="0.25"/>
  <cols>
    <col min="1" max="1" width="20.7109375" style="12"/>
    <col min="2" max="2" width="24" customWidth="1"/>
    <col min="3" max="3" width="72.7109375" customWidth="1"/>
    <col min="4" max="4" width="20.7109375" style="12"/>
    <col min="5" max="5" width="122" customWidth="1"/>
  </cols>
  <sheetData>
    <row r="1" spans="1:5" x14ac:dyDescent="0.25">
      <c r="A1" s="12" t="s">
        <v>92</v>
      </c>
      <c r="B1" t="s">
        <v>81</v>
      </c>
      <c r="C1" t="s">
        <v>8</v>
      </c>
      <c r="D1" s="12" t="s">
        <v>5</v>
      </c>
      <c r="E1" t="s">
        <v>83</v>
      </c>
    </row>
    <row r="2" spans="1:5" x14ac:dyDescent="0.25">
      <c r="A2" s="30">
        <v>42024</v>
      </c>
      <c r="B2" t="s">
        <v>79</v>
      </c>
      <c r="C2" t="s">
        <v>28</v>
      </c>
      <c r="D2" s="12" t="str">
        <f>IFERROR(VLOOKUP(C2,'Data sheet'!$B:$C,2,0),"")</f>
        <v>Weekly</v>
      </c>
      <c r="E2" t="str">
        <f>IFERROR(VLOOKUP(C2,'Data sheet'!$B:$F,5,0),"")</f>
        <v>This report helps to gain clear business insights on customer churn on different dimensions like Region, State wise, Aon, speed includes both product B1 and HSI</v>
      </c>
    </row>
    <row r="3" spans="1:5" x14ac:dyDescent="0.25">
      <c r="A3" s="30">
        <v>42024</v>
      </c>
      <c r="B3" s="12" t="s">
        <v>79</v>
      </c>
      <c r="C3" t="s">
        <v>24</v>
      </c>
      <c r="D3" s="12" t="str">
        <f>IFERROR(VLOOKUP(C3,'Data sheet'!$B:$C,2,0),"")</f>
        <v>Weekly</v>
      </c>
      <c r="E3" s="12" t="str">
        <f>IFERROR(VLOOKUP(C3,'Data sheet'!$B:$F,5,0),"")</f>
        <v>This report has approach to track over usage and abuse of key discretionary promos.Channel and Rep level tracking is required for ENS and CRIS Business Customer</v>
      </c>
    </row>
    <row r="4" spans="1:5" x14ac:dyDescent="0.25">
      <c r="A4" s="30">
        <v>42025</v>
      </c>
      <c r="B4" s="12" t="s">
        <v>113</v>
      </c>
      <c r="C4" t="s">
        <v>38</v>
      </c>
      <c r="D4" s="12" t="str">
        <f>IFERROR(VLOOKUP(C4,'Data sheet'!$B:$C,2,0),"")</f>
        <v>Other</v>
      </c>
      <c r="E4" s="12" t="str">
        <f>IFERROR(VLOOKUP(C4,'Data sheet'!$B:$F,5,0),"")</f>
        <v>To identify customers who taken Promo 448K and D20301.</v>
      </c>
    </row>
    <row r="5" spans="1:5" x14ac:dyDescent="0.25">
      <c r="A5" s="30">
        <v>42025</v>
      </c>
      <c r="B5" t="s">
        <v>85</v>
      </c>
      <c r="C5" t="s">
        <v>40</v>
      </c>
      <c r="D5" s="12" t="str">
        <f>IFERROR(VLOOKUP(C5,'Data sheet'!$B:$C,2,0),"")</f>
        <v>Monthly</v>
      </c>
      <c r="E5" s="12" t="str">
        <f>IFERROR(VLOOKUP(C5,'Data sheet'!$B:$F,5,0),"")</f>
        <v>Dashboard containing KPIs of all the products of SMB</v>
      </c>
    </row>
    <row r="6" spans="1:5" x14ac:dyDescent="0.25">
      <c r="A6" s="30">
        <v>42026</v>
      </c>
      <c r="B6" t="s">
        <v>90</v>
      </c>
      <c r="C6" t="s">
        <v>54</v>
      </c>
      <c r="D6" s="12" t="str">
        <f>IFERROR(VLOOKUP(C6,'Data sheet'!$B:$C,2,0),"")</f>
        <v/>
      </c>
      <c r="E6" s="12" t="str">
        <f>IFERROR(VLOOKUP(C6,'Data sheet'!$B:$F,5,0),"")</f>
        <v/>
      </c>
    </row>
    <row r="7" spans="1:5" x14ac:dyDescent="0.25">
      <c r="A7" s="30">
        <v>42026</v>
      </c>
      <c r="B7" t="s">
        <v>113</v>
      </c>
      <c r="C7" t="s">
        <v>34</v>
      </c>
      <c r="D7" s="12" t="str">
        <f>IFERROR(VLOOKUP(C7,'Data sheet'!$B:$C,2,0),"")</f>
        <v>Weekly</v>
      </c>
      <c r="E7" s="12" t="str">
        <f>IFERROR(VLOOKUP(C7,'Data sheet'!$B:$F,5,0),"")</f>
        <v>Churn Tracker at BTN level.</v>
      </c>
    </row>
    <row r="8" spans="1:5" x14ac:dyDescent="0.25">
      <c r="A8" s="30">
        <v>42026</v>
      </c>
      <c r="B8" t="s">
        <v>79</v>
      </c>
      <c r="C8" t="s">
        <v>33</v>
      </c>
      <c r="D8" s="12" t="str">
        <f>IFERROR(VLOOKUP(C8,'Data sheet'!$B:$C,2,0),"")</f>
        <v>Weekly</v>
      </c>
      <c r="E8" s="12" t="str">
        <f>IFERROR(VLOOKUP(C8,'Data sheet'!$B:$F,5,0),"")</f>
        <v>To track calls and drops for soho TF</v>
      </c>
    </row>
    <row r="9" spans="1:5" x14ac:dyDescent="0.25">
      <c r="A9" s="30">
        <v>42026</v>
      </c>
      <c r="B9" s="12" t="s">
        <v>90</v>
      </c>
      <c r="C9" s="13" t="s">
        <v>117</v>
      </c>
      <c r="D9" s="12" t="str">
        <f>IFERROR(VLOOKUP(C9,'Data sheet'!$B:$C,2,0),"")</f>
        <v/>
      </c>
      <c r="E9" s="12" t="str">
        <f>IFERROR(VLOOKUP(C9,'Data sheet'!$B:$F,5,0),"")</f>
        <v/>
      </c>
    </row>
    <row r="10" spans="1:5" x14ac:dyDescent="0.25">
      <c r="A10" s="30">
        <v>42027</v>
      </c>
      <c r="B10" s="12" t="s">
        <v>79</v>
      </c>
      <c r="C10" t="s">
        <v>17</v>
      </c>
      <c r="D10" s="12" t="str">
        <f>IFERROR(VLOOKUP(C10,'Data sheet'!$B:$C,2,0),"")</f>
        <v>Weekly</v>
      </c>
      <c r="E10" s="12" t="str">
        <f>IFERROR(VLOOKUP(C10,'Data sheet'!$B:$F,5,0),"")</f>
        <v>Promo Reporting on LQ Side</v>
      </c>
    </row>
    <row r="11" spans="1:5" x14ac:dyDescent="0.25">
      <c r="A11" s="30">
        <v>42027</v>
      </c>
      <c r="B11" s="12" t="s">
        <v>79</v>
      </c>
      <c r="C11" t="s">
        <v>18</v>
      </c>
      <c r="D11" s="12" t="str">
        <f>IFERROR(VLOOKUP(C11,'Data sheet'!$B:$C,2,0),"")</f>
        <v>Weekly</v>
      </c>
      <c r="E11" s="12" t="str">
        <f>IFERROR(VLOOKUP(C11,'Data sheet'!$B:$F,5,0),"")</f>
        <v>Promo Reporting on LCTL Side</v>
      </c>
    </row>
    <row r="12" spans="1:5" x14ac:dyDescent="0.25">
      <c r="A12" s="30">
        <v>42027</v>
      </c>
      <c r="B12" s="23" t="s">
        <v>90</v>
      </c>
      <c r="C12" t="s">
        <v>54</v>
      </c>
      <c r="D12" s="12" t="str">
        <f>IFERROR(VLOOKUP(C12,'Data sheet'!$B:$C,2,0),"")</f>
        <v/>
      </c>
      <c r="E12" s="12" t="str">
        <f>IFERROR(VLOOKUP(C12,'Data sheet'!$B:$F,5,0),"")</f>
        <v/>
      </c>
    </row>
    <row r="13" spans="1:5" x14ac:dyDescent="0.25">
      <c r="A13" s="30">
        <v>42033</v>
      </c>
      <c r="B13" t="s">
        <v>90</v>
      </c>
      <c r="C13" t="s">
        <v>54</v>
      </c>
      <c r="D13" s="12" t="str">
        <f>IFERROR(VLOOKUP(C13,'Data sheet'!$B:$C,2,0),"")</f>
        <v/>
      </c>
      <c r="E13" s="12" t="str">
        <f>IFERROR(VLOOKUP(C13,'Data sheet'!$B:$F,5,0),"")</f>
        <v/>
      </c>
    </row>
    <row r="14" spans="1:5" x14ac:dyDescent="0.25">
      <c r="A14" s="30">
        <v>42033</v>
      </c>
      <c r="B14" s="12" t="s">
        <v>79</v>
      </c>
      <c r="C14" t="s">
        <v>15</v>
      </c>
      <c r="D14" s="12" t="str">
        <f>IFERROR(VLOOKUP(C14,'Data sheet'!$B:$C,2,0),"")</f>
        <v>Weekly</v>
      </c>
      <c r="E14" s="12" t="str">
        <f>IFERROR(VLOOKUP(C14,'Data sheet'!$B:$F,5,0),"")</f>
        <v>Weekly Churn Report of Bus Soln customer on LQ Side</v>
      </c>
    </row>
    <row r="15" spans="1:5" x14ac:dyDescent="0.25">
      <c r="A15" s="30">
        <v>42033</v>
      </c>
      <c r="B15" s="12" t="s">
        <v>79</v>
      </c>
      <c r="C15" t="s">
        <v>16</v>
      </c>
      <c r="D15" s="12" t="str">
        <f>IFERROR(VLOOKUP(C15,'Data sheet'!$B:$C,2,0),"")</f>
        <v>Weekly</v>
      </c>
      <c r="E15" s="12" t="str">
        <f>IFERROR(VLOOKUP(C15,'Data sheet'!$B:$F,5,0),"")</f>
        <v>Weekly Churn Report of Bus Soln customer on LCTL Side</v>
      </c>
    </row>
    <row r="16" spans="1:5" x14ac:dyDescent="0.25">
      <c r="A16" s="30">
        <v>42034</v>
      </c>
      <c r="B16" s="12" t="s">
        <v>79</v>
      </c>
      <c r="C16" t="s">
        <v>17</v>
      </c>
      <c r="D16" s="12" t="str">
        <f>IFERROR(VLOOKUP(C16,'Data sheet'!$B:$C,2,0),"")</f>
        <v>Weekly</v>
      </c>
      <c r="E16" s="12" t="str">
        <f>IFERROR(VLOOKUP(C16,'Data sheet'!$B:$F,5,0),"")</f>
        <v>Promo Reporting on LQ Side</v>
      </c>
    </row>
    <row r="17" spans="1:5" x14ac:dyDescent="0.25">
      <c r="A17" s="30">
        <v>42034</v>
      </c>
      <c r="B17" s="12" t="s">
        <v>79</v>
      </c>
      <c r="C17" t="s">
        <v>18</v>
      </c>
      <c r="D17" s="12" t="str">
        <f>IFERROR(VLOOKUP(C17,'Data sheet'!$B:$C,2,0),"")</f>
        <v>Weekly</v>
      </c>
      <c r="E17" s="12" t="str">
        <f>IFERROR(VLOOKUP(C17,'Data sheet'!$B:$F,5,0),"")</f>
        <v>Promo Reporting on LCTL Side</v>
      </c>
    </row>
    <row r="18" spans="1:5" x14ac:dyDescent="0.25">
      <c r="A18" s="30">
        <v>42034</v>
      </c>
      <c r="B18" t="s">
        <v>90</v>
      </c>
      <c r="C18" t="s">
        <v>54</v>
      </c>
      <c r="D18" s="12" t="str">
        <f>IFERROR(VLOOKUP(C18,'Data sheet'!$B:$C,2,0),"")</f>
        <v/>
      </c>
      <c r="E18" s="12" t="str">
        <f>IFERROR(VLOOKUP(C18,'Data sheet'!$B:$F,5,0),"")</f>
        <v/>
      </c>
    </row>
    <row r="19" spans="1:5" x14ac:dyDescent="0.25">
      <c r="A19" s="30">
        <v>42034</v>
      </c>
      <c r="B19" t="s">
        <v>90</v>
      </c>
      <c r="C19" s="13" t="s">
        <v>117</v>
      </c>
      <c r="D19" s="12" t="str">
        <f>IFERROR(VLOOKUP(C19,'Data sheet'!$B:$C,2,0),"")</f>
        <v/>
      </c>
      <c r="E19" s="12" t="str">
        <f>IFERROR(VLOOKUP(C19,'Data sheet'!$B:$F,5,0),"")</f>
        <v/>
      </c>
    </row>
    <row r="20" spans="1:5" x14ac:dyDescent="0.25">
      <c r="A20" s="30">
        <v>42038</v>
      </c>
      <c r="B20" t="s">
        <v>79</v>
      </c>
      <c r="C20" t="s">
        <v>24</v>
      </c>
      <c r="D20" s="12" t="str">
        <f>IFERROR(VLOOKUP(C20,'Data sheet'!$B:$C,2,0),"")</f>
        <v>Weekly</v>
      </c>
      <c r="E20" s="12" t="str">
        <f>IFERROR(VLOOKUP(C20,'Data sheet'!$B:$F,5,0),"")</f>
        <v>This report has approach to track over usage and abuse of key discretionary promos.Channel and Rep level tracking is required for ENS and CRIS Business Customer</v>
      </c>
    </row>
    <row r="21" spans="1:5" x14ac:dyDescent="0.25">
      <c r="A21" s="30">
        <v>42038</v>
      </c>
      <c r="B21" t="s">
        <v>79</v>
      </c>
      <c r="C21" t="s">
        <v>29</v>
      </c>
      <c r="D21" s="12" t="str">
        <f>IFERROR(VLOOKUP(C21,'Data sheet'!$B:$C,2,0),"")</f>
        <v>Daily</v>
      </c>
      <c r="E21" s="12" t="str">
        <f>IFERROR(VLOOKUP(C21,'Data sheet'!$B:$F,5,0),"")</f>
        <v>This scorecard track churn and identify key trends in customer churn for HSI,B1 for historically for last 2 years and YTD daily for small business customers of both legacy customers</v>
      </c>
    </row>
    <row r="22" spans="1:5" x14ac:dyDescent="0.25">
      <c r="A22" s="30">
        <v>42039</v>
      </c>
      <c r="B22" t="s">
        <v>79</v>
      </c>
      <c r="C22" t="s">
        <v>15</v>
      </c>
      <c r="D22" s="12" t="str">
        <f>IFERROR(VLOOKUP(C22,'Data sheet'!$B:$C,2,0),"")</f>
        <v>Weekly</v>
      </c>
      <c r="E22" s="12" t="str">
        <f>IFERROR(VLOOKUP(C22,'Data sheet'!$B:$F,5,0),"")</f>
        <v>Weekly Churn Report of Bus Soln customer on LQ Side</v>
      </c>
    </row>
    <row r="23" spans="1:5" x14ac:dyDescent="0.25">
      <c r="A23" s="30">
        <v>42039</v>
      </c>
      <c r="B23" s="12" t="s">
        <v>79</v>
      </c>
      <c r="C23" t="s">
        <v>16</v>
      </c>
      <c r="D23" s="12" t="str">
        <f>IFERROR(VLOOKUP(C23,'Data sheet'!$B:$C,2,0),"")</f>
        <v>Weekly</v>
      </c>
      <c r="E23" s="12" t="str">
        <f>IFERROR(VLOOKUP(C23,'Data sheet'!$B:$F,5,0),"")</f>
        <v>Weekly Churn Report of Bus Soln customer on LCTL Side</v>
      </c>
    </row>
    <row r="24" spans="1:5" x14ac:dyDescent="0.25">
      <c r="A24" s="30">
        <v>42040</v>
      </c>
      <c r="B24" t="s">
        <v>87</v>
      </c>
      <c r="C24" t="s">
        <v>34</v>
      </c>
      <c r="D24" s="12" t="str">
        <f>IFERROR(VLOOKUP(C24,'Data sheet'!$B:$C,2,0),"")</f>
        <v>Weekly</v>
      </c>
      <c r="E24" s="12" t="str">
        <f>IFERROR(VLOOKUP(C24,'Data sheet'!$B:$F,5,0),"")</f>
        <v>Churn Tracker at BTN level.</v>
      </c>
    </row>
    <row r="25" spans="1:5" x14ac:dyDescent="0.25">
      <c r="A25" s="30">
        <v>42040</v>
      </c>
      <c r="B25" t="s">
        <v>91</v>
      </c>
      <c r="C25" s="12" t="s">
        <v>54</v>
      </c>
      <c r="D25" s="12" t="str">
        <f>IFERROR(VLOOKUP(C25,'Data sheet'!$B:$C,2,0),"")</f>
        <v/>
      </c>
      <c r="E25" s="12" t="str">
        <f>IFERROR(VLOOKUP(C25,'Data sheet'!$B:$F,5,0),"")</f>
        <v/>
      </c>
    </row>
    <row r="26" spans="1:5" x14ac:dyDescent="0.25">
      <c r="A26" s="30">
        <v>42041</v>
      </c>
      <c r="B26" t="s">
        <v>90</v>
      </c>
      <c r="C26" s="13" t="s">
        <v>117</v>
      </c>
      <c r="D26" s="12" t="str">
        <f>IFERROR(VLOOKUP(C26,'Data sheet'!$B:$C,2,0),"")</f>
        <v/>
      </c>
      <c r="E26" s="12" t="str">
        <f>IFERROR(VLOOKUP(C26,'Data sheet'!$B:$F,5,0),"")</f>
        <v/>
      </c>
    </row>
    <row r="27" spans="1:5" x14ac:dyDescent="0.25">
      <c r="A27" s="30">
        <v>42041</v>
      </c>
      <c r="B27" t="s">
        <v>91</v>
      </c>
      <c r="C27" t="s">
        <v>54</v>
      </c>
      <c r="D27" s="12" t="str">
        <f>IFERROR(VLOOKUP(C27,'Data sheet'!$B:$C,2,0),"")</f>
        <v/>
      </c>
      <c r="E27" s="12" t="str">
        <f>IFERROR(VLOOKUP(C27,'Data sheet'!$B:$F,5,0),"")</f>
        <v/>
      </c>
    </row>
    <row r="28" spans="1:5" x14ac:dyDescent="0.25">
      <c r="A28" s="30">
        <v>42041</v>
      </c>
      <c r="B28" s="12" t="s">
        <v>87</v>
      </c>
      <c r="C28" s="12" t="s">
        <v>38</v>
      </c>
      <c r="D28" s="12" t="str">
        <f>IFERROR(VLOOKUP(C28,'Data sheet'!$B:$C,2,0),"")</f>
        <v>Other</v>
      </c>
      <c r="E28" s="12" t="str">
        <f>IFERROR(VLOOKUP(C28,'Data sheet'!$B:$F,5,0),"")</f>
        <v>To identify customers who taken Promo 448K and D20301.</v>
      </c>
    </row>
    <row r="29" spans="1:5" x14ac:dyDescent="0.25">
      <c r="A29" s="30">
        <v>42042</v>
      </c>
      <c r="B29" s="23" t="s">
        <v>91</v>
      </c>
      <c r="C29" s="23" t="s">
        <v>54</v>
      </c>
      <c r="D29" s="12" t="str">
        <f>IFERROR(VLOOKUP(C29,'Data sheet'!$B:$C,2,0),"")</f>
        <v/>
      </c>
      <c r="E29" s="12" t="str">
        <f>IFERROR(VLOOKUP(C29,'Data sheet'!$B:$F,5,0),"")</f>
        <v/>
      </c>
    </row>
    <row r="30" spans="1:5" x14ac:dyDescent="0.25">
      <c r="A30" s="30">
        <v>42045</v>
      </c>
      <c r="B30" t="s">
        <v>90</v>
      </c>
      <c r="C30" s="12" t="s">
        <v>43</v>
      </c>
      <c r="D30" s="12" t="str">
        <f>IFERROR(VLOOKUP(C30,'Data sheet'!$B:$C,2,0),"")</f>
        <v>Monthly</v>
      </c>
      <c r="E30" s="35" t="s">
        <v>130</v>
      </c>
    </row>
    <row r="31" spans="1:5" x14ac:dyDescent="0.25">
      <c r="A31" s="30">
        <v>42045</v>
      </c>
      <c r="B31" t="s">
        <v>91</v>
      </c>
      <c r="C31" t="s">
        <v>54</v>
      </c>
      <c r="D31" s="12" t="str">
        <f>IFERROR(VLOOKUP(C31,'Data sheet'!$B:$C,2,0),"")</f>
        <v/>
      </c>
      <c r="E31" s="12" t="str">
        <f>IFERROR(VLOOKUP(C31,'Data sheet'!$B:$F,5,0),"")</f>
        <v/>
      </c>
    </row>
    <row r="32" spans="1:5" x14ac:dyDescent="0.25">
      <c r="A32" s="30">
        <v>42047</v>
      </c>
      <c r="B32" s="12" t="s">
        <v>113</v>
      </c>
      <c r="C32" s="12" t="s">
        <v>34</v>
      </c>
      <c r="D32" s="12" t="str">
        <f>IFERROR(VLOOKUP(C32,'Data sheet'!$B:$C,2,0),"")</f>
        <v>Weekly</v>
      </c>
      <c r="E32" s="12" t="str">
        <f>IFERROR(VLOOKUP(C32,'Data sheet'!$B:$F,5,0),"")</f>
        <v>Churn Tracker at BTN level.</v>
      </c>
    </row>
    <row r="33" spans="1:5" x14ac:dyDescent="0.25">
      <c r="A33" s="30">
        <v>42047</v>
      </c>
      <c r="B33" s="12" t="s">
        <v>79</v>
      </c>
      <c r="C33" t="s">
        <v>28</v>
      </c>
      <c r="D33" s="12" t="s">
        <v>63</v>
      </c>
      <c r="E33" s="12" t="s">
        <v>118</v>
      </c>
    </row>
    <row r="34" spans="1:5" x14ac:dyDescent="0.25">
      <c r="A34" s="30">
        <v>42048</v>
      </c>
      <c r="B34" t="s">
        <v>90</v>
      </c>
      <c r="C34" t="s">
        <v>117</v>
      </c>
      <c r="D34" s="12" t="str">
        <f>IFERROR(VLOOKUP(C34,'Data sheet'!$B:$C,2,0),"")</f>
        <v/>
      </c>
      <c r="E34" s="12" t="str">
        <f>IFERROR(VLOOKUP(C34,'Data sheet'!$B:$F,5,0),"")</f>
        <v/>
      </c>
    </row>
    <row r="35" spans="1:5" x14ac:dyDescent="0.25">
      <c r="A35" s="30">
        <v>42048</v>
      </c>
      <c r="B35" s="12" t="s">
        <v>79</v>
      </c>
      <c r="C35" t="s">
        <v>17</v>
      </c>
      <c r="D35" s="12" t="str">
        <f>IFERROR(VLOOKUP(C35,'Data sheet'!$B:$C,2,0),"")</f>
        <v>Weekly</v>
      </c>
      <c r="E35" s="36" t="s">
        <v>95</v>
      </c>
    </row>
    <row r="36" spans="1:5" x14ac:dyDescent="0.25">
      <c r="A36" s="30">
        <v>42048</v>
      </c>
      <c r="B36" s="12" t="s">
        <v>79</v>
      </c>
      <c r="C36" t="s">
        <v>18</v>
      </c>
      <c r="D36" s="12" t="str">
        <f>IFERROR(VLOOKUP(C36,'Data sheet'!$B:$C,2,0),"")</f>
        <v>Weekly</v>
      </c>
      <c r="E36" s="36" t="s">
        <v>96</v>
      </c>
    </row>
    <row r="37" spans="1:5" x14ac:dyDescent="0.25">
      <c r="A37" s="30">
        <v>42052</v>
      </c>
      <c r="B37" s="12" t="s">
        <v>79</v>
      </c>
      <c r="C37" t="s">
        <v>24</v>
      </c>
      <c r="D37" s="12" t="str">
        <f>IFERROR(VLOOKUP(C37,'Data sheet'!$B:$C,2,0),"")</f>
        <v>Weekly</v>
      </c>
      <c r="E37" s="12" t="s">
        <v>108</v>
      </c>
    </row>
    <row r="38" spans="1:5" x14ac:dyDescent="0.25">
      <c r="A38" s="30">
        <v>42053</v>
      </c>
      <c r="B38" s="12" t="s">
        <v>85</v>
      </c>
      <c r="C38" t="s">
        <v>133</v>
      </c>
      <c r="D38" s="12" t="str">
        <f>IFERROR(VLOOKUP(C38,'Data sheet'!$B:$C,2,0),"")</f>
        <v>Monthly</v>
      </c>
      <c r="E38" s="12" t="str">
        <f>IFERROR(VLOOKUP(C38,'Data sheet'!$B:$F,5,0),"")</f>
        <v>Provide a sub group summary of Vendor compensation dashboard</v>
      </c>
    </row>
    <row r="39" spans="1:5" x14ac:dyDescent="0.25">
      <c r="A39" s="30">
        <v>42054</v>
      </c>
      <c r="B39" s="12" t="s">
        <v>85</v>
      </c>
      <c r="C39" s="12" t="s">
        <v>40</v>
      </c>
      <c r="D39" s="12" t="str">
        <f>IFERROR(VLOOKUP(C39,'Data sheet'!$B:$C,2,0),"")</f>
        <v>Monthly</v>
      </c>
      <c r="E39" s="12" t="str">
        <f>IFERROR(VLOOKUP(C39,'Data sheet'!$B:$F,5,0),"")</f>
        <v>Dashboard containing KPIs of all the products of SMB</v>
      </c>
    </row>
    <row r="40" spans="1:5" x14ac:dyDescent="0.25">
      <c r="A40" s="30">
        <v>42060</v>
      </c>
      <c r="B40" s="12" t="s">
        <v>90</v>
      </c>
      <c r="C40" t="s">
        <v>136</v>
      </c>
      <c r="D40" s="12" t="str">
        <f>IFERROR(VLOOKUP(C40,'Data sheet'!$B:$C,2,0),"")</f>
        <v/>
      </c>
      <c r="E40" s="12" t="str">
        <f>IFERROR(VLOOKUP(C40,'Data sheet'!$B:$F,5,0),"")</f>
        <v/>
      </c>
    </row>
    <row r="41" spans="1:5" x14ac:dyDescent="0.25">
      <c r="A41" s="30">
        <v>42061</v>
      </c>
      <c r="B41" s="12" t="s">
        <v>113</v>
      </c>
      <c r="C41" t="s">
        <v>34</v>
      </c>
      <c r="D41" s="12" t="str">
        <f>IFERROR(VLOOKUP(C41,'Data sheet'!$B:$C,2,0),"")</f>
        <v>Weekly</v>
      </c>
      <c r="E41" s="12" t="str">
        <f>IFERROR(VLOOKUP(C41,'Data sheet'!$B:$F,5,0),"")</f>
        <v>Churn Tracker at BTN level.</v>
      </c>
    </row>
    <row r="42" spans="1:5" x14ac:dyDescent="0.25">
      <c r="A42" s="30">
        <v>42067</v>
      </c>
      <c r="B42" s="12" t="s">
        <v>113</v>
      </c>
      <c r="C42" s="12" t="s">
        <v>34</v>
      </c>
      <c r="D42" s="12" t="str">
        <f>IFERROR(VLOOKUP(C42,'Data sheet'!$B:$C,2,0),"")</f>
        <v>Weekly</v>
      </c>
      <c r="E42" s="12" t="str">
        <f>IFERROR(VLOOKUP(C42,'Data sheet'!$B:$F,5,0),"")</f>
        <v>Churn Tracker at BTN level.</v>
      </c>
    </row>
    <row r="43" spans="1:5" x14ac:dyDescent="0.25">
      <c r="A43" s="30">
        <v>42067</v>
      </c>
      <c r="B43" s="12" t="s">
        <v>113</v>
      </c>
      <c r="C43" s="12" t="s">
        <v>38</v>
      </c>
      <c r="D43" s="12" t="str">
        <f>IFERROR(VLOOKUP(C43,'Data sheet'!$B:$C,2,0),"")</f>
        <v>Other</v>
      </c>
      <c r="E43" s="12" t="str">
        <f>IFERROR(VLOOKUP(C43,'Data sheet'!$B:$F,5,0),"")</f>
        <v>To identify customers who taken Promo 448K and D20301.</v>
      </c>
    </row>
    <row r="44" spans="1:5" x14ac:dyDescent="0.25">
      <c r="A44" s="30">
        <v>42067</v>
      </c>
      <c r="B44" s="12" t="s">
        <v>90</v>
      </c>
      <c r="C44" s="12" t="s">
        <v>135</v>
      </c>
      <c r="D44" s="12" t="str">
        <f>IFERROR(VLOOKUP(C44,'Data sheet'!$B:$C,2,0),"")</f>
        <v>Weekly</v>
      </c>
      <c r="E44" s="12" t="str">
        <f>IFERROR(VLOOKUP(C44,'Data sheet'!$B:$F,5,0),"")</f>
        <v>Usage report of all discretionary promos for both CRIS and ENS of Inwards &amp; Mig_Inwards customers with Channels, Agents, SAPIDs and Account Number information</v>
      </c>
    </row>
    <row r="45" spans="1:5" x14ac:dyDescent="0.25">
      <c r="A45" s="30">
        <v>42067</v>
      </c>
      <c r="B45" t="s">
        <v>90</v>
      </c>
      <c r="C45" t="s">
        <v>136</v>
      </c>
      <c r="D45" s="12" t="str">
        <f>IFERROR(VLOOKUP(C45,'Data sheet'!$B:$C,2,0),"")</f>
        <v/>
      </c>
      <c r="E45" s="12" t="str">
        <f>IFERROR(VLOOKUP(C45,'Data sheet'!$B:$F,5,0),"")</f>
        <v/>
      </c>
    </row>
    <row r="46" spans="1:5" x14ac:dyDescent="0.25">
      <c r="A46" s="30">
        <v>42072</v>
      </c>
      <c r="B46" t="s">
        <v>79</v>
      </c>
      <c r="C46" t="s">
        <v>28</v>
      </c>
      <c r="D46" s="12" t="str">
        <f>IFERROR(VLOOKUP(C46,'Data sheet'!$B:$C,2,0),"")</f>
        <v>Weekly</v>
      </c>
      <c r="E46" s="12" t="str">
        <f>IFERROR(VLOOKUP(C46,'Data sheet'!$B:$F,5,0),"")</f>
        <v>This report helps to gain clear business insights on customer churn on different dimensions like Region, State wise, Aon, speed includes both product B1 and HSI</v>
      </c>
    </row>
    <row r="47" spans="1:5" x14ac:dyDescent="0.25">
      <c r="A47" s="30">
        <v>42072</v>
      </c>
      <c r="B47" s="12" t="s">
        <v>79</v>
      </c>
      <c r="C47" s="12" t="s">
        <v>17</v>
      </c>
      <c r="D47" s="12" t="str">
        <f>IFERROR(VLOOKUP(C47,'Data sheet'!$B:$C,2,0),"")</f>
        <v>Weekly</v>
      </c>
      <c r="E47" s="12" t="str">
        <f>IFERROR(VLOOKUP(C47,'Data sheet'!$B:$F,5,0),"")</f>
        <v>Promo Reporting on LQ Side</v>
      </c>
    </row>
    <row r="48" spans="1:5" x14ac:dyDescent="0.25">
      <c r="A48" s="30">
        <v>42072</v>
      </c>
      <c r="B48" s="12" t="s">
        <v>79</v>
      </c>
      <c r="C48" s="12" t="s">
        <v>18</v>
      </c>
      <c r="D48" s="12" t="str">
        <f>IFERROR(VLOOKUP(C48,'Data sheet'!$B:$C,2,0),"")</f>
        <v>Weekly</v>
      </c>
      <c r="E48" s="12" t="str">
        <f>IFERROR(VLOOKUP(C48,'Data sheet'!$B:$F,5,0),"")</f>
        <v>Promo Reporting on LCTL Side</v>
      </c>
    </row>
    <row r="49" spans="1:5" x14ac:dyDescent="0.25">
      <c r="A49" s="30">
        <v>42074</v>
      </c>
      <c r="B49" s="12" t="s">
        <v>90</v>
      </c>
      <c r="C49" s="12" t="s">
        <v>136</v>
      </c>
      <c r="D49" s="12" t="str">
        <f>IFERROR(VLOOKUP(C49,'Data sheet'!$B:$C,2,0),"")</f>
        <v/>
      </c>
      <c r="E49" s="12" t="str">
        <f>IFERROR(VLOOKUP(C49,'Data sheet'!$B:$F,5,0),"")</f>
        <v/>
      </c>
    </row>
    <row r="50" spans="1:5" x14ac:dyDescent="0.25">
      <c r="A50" s="30">
        <v>42074</v>
      </c>
      <c r="B50" t="s">
        <v>90</v>
      </c>
      <c r="C50" t="s">
        <v>43</v>
      </c>
      <c r="D50" s="12" t="str">
        <f>IFERROR(VLOOKUP(C50,'Data sheet'!$B:$C,2,0),"")</f>
        <v>Monthly</v>
      </c>
      <c r="E50" s="12" t="str">
        <f>IFERROR(VLOOKUP(C50,'Data sheet'!$B:$F,5,0),"")</f>
        <v>13 months rolling dashboard on the leads data from SFDC</v>
      </c>
    </row>
    <row r="51" spans="1:5" x14ac:dyDescent="0.25">
      <c r="A51" s="30">
        <v>42074</v>
      </c>
      <c r="B51" t="s">
        <v>90</v>
      </c>
      <c r="C51" t="s">
        <v>135</v>
      </c>
      <c r="D51" s="12" t="str">
        <f>IFERROR(VLOOKUP(C51,'Data sheet'!$B:$C,2,0),"")</f>
        <v>Weekly</v>
      </c>
      <c r="E51" s="12" t="str">
        <f>IFERROR(VLOOKUP(C51,'Data sheet'!$B:$F,5,0),"")</f>
        <v>Usage report of all discretionary promos for both CRIS and ENS of Inwards &amp; Mig_Inwards customers with Channels, Agents, SAPIDs and Account Number information</v>
      </c>
    </row>
    <row r="52" spans="1:5" x14ac:dyDescent="0.25">
      <c r="A52" s="30">
        <v>42074</v>
      </c>
      <c r="B52" t="s">
        <v>86</v>
      </c>
      <c r="C52" t="s">
        <v>21</v>
      </c>
      <c r="D52" s="12" t="str">
        <f>IFERROR(VLOOKUP(C52,'Data sheet'!$B:$C,2,0),"")</f>
        <v>Monthly</v>
      </c>
      <c r="E52" s="12" t="str">
        <f>IFERROR(VLOOKUP(C52,'Data sheet'!$B:$F,5,0),"")</f>
        <v>To split LQ/LCTL HSI sales across product categories</v>
      </c>
    </row>
    <row r="53" spans="1:5" x14ac:dyDescent="0.25">
      <c r="A53" s="30">
        <v>42074</v>
      </c>
      <c r="B53" t="s">
        <v>86</v>
      </c>
      <c r="C53" t="s">
        <v>27</v>
      </c>
      <c r="D53" s="12" t="str">
        <f>IFERROR(VLOOKUP(C53,'Data sheet'!$B:$C,2,0),"")</f>
        <v>Monthly</v>
      </c>
      <c r="E53" s="12">
        <f>IFERROR(VLOOKUP(C53,'Data sheet'!$B:$F,5,0),"")</f>
        <v>0</v>
      </c>
    </row>
    <row r="54" spans="1:5" x14ac:dyDescent="0.25">
      <c r="A54" s="30">
        <v>42074</v>
      </c>
      <c r="B54" t="s">
        <v>86</v>
      </c>
      <c r="C54" t="s">
        <v>30</v>
      </c>
      <c r="D54" s="12" t="str">
        <f>IFERROR(VLOOKUP(C54,'Data sheet'!$B:$C,2,0),"")</f>
        <v>Monthly</v>
      </c>
      <c r="E54" s="12" t="str">
        <f>IFERROR(VLOOKUP(C54,'Data sheet'!$B:$F,5,0),"")</f>
        <v>Dashboard for CC</v>
      </c>
    </row>
    <row r="55" spans="1:5" x14ac:dyDescent="0.25">
      <c r="A55" s="30">
        <v>42075</v>
      </c>
      <c r="B55" t="s">
        <v>113</v>
      </c>
      <c r="C55" t="s">
        <v>34</v>
      </c>
      <c r="D55" s="12" t="str">
        <f>IFERROR(VLOOKUP(C55,'Data sheet'!$B:$C,2,0),"")</f>
        <v>Weekly</v>
      </c>
      <c r="E55" s="12" t="str">
        <f>IFERROR(VLOOKUP(C55,'Data sheet'!$B:$F,5,0),"")</f>
        <v>Churn Tracker at BTN level.</v>
      </c>
    </row>
    <row r="56" spans="1:5" x14ac:dyDescent="0.25">
      <c r="A56" s="30">
        <v>42075</v>
      </c>
      <c r="B56" s="12" t="s">
        <v>86</v>
      </c>
      <c r="C56" s="12" t="s">
        <v>33</v>
      </c>
      <c r="D56" s="12" t="str">
        <f>IFERROR(VLOOKUP(C56,'Data sheet'!$B:$C,2,0),"")</f>
        <v>Weekly</v>
      </c>
      <c r="E56" s="12" t="str">
        <f>IFERROR(VLOOKUP(C56,'Data sheet'!$B:$F,5,0),"")</f>
        <v>To track calls and drops for soho TF</v>
      </c>
    </row>
    <row r="57" spans="1:5" x14ac:dyDescent="0.25">
      <c r="A57" s="30">
        <v>42080</v>
      </c>
      <c r="B57" s="12" t="s">
        <v>90</v>
      </c>
      <c r="C57" s="12" t="s">
        <v>40</v>
      </c>
      <c r="D57" s="12" t="str">
        <f>IFERROR(VLOOKUP(C57,'Data sheet'!$B:$C,2,0),"")</f>
        <v>Monthly</v>
      </c>
      <c r="E57" s="12" t="str">
        <f>IFERROR(VLOOKUP(C57,'Data sheet'!$B:$F,5,0),"")</f>
        <v>Dashboard containing KPIs of all the products of SMB</v>
      </c>
    </row>
    <row r="58" spans="1:5" x14ac:dyDescent="0.25">
      <c r="A58" s="30">
        <v>42081</v>
      </c>
      <c r="B58" t="s">
        <v>90</v>
      </c>
      <c r="C58" t="s">
        <v>135</v>
      </c>
      <c r="D58" s="12" t="str">
        <f>IFERROR(VLOOKUP(C58,'Data sheet'!$B:$C,2,0),"")</f>
        <v>Weekly</v>
      </c>
      <c r="E58" s="12" t="str">
        <f>IFERROR(VLOOKUP(C58,'Data sheet'!$B:$F,5,0),"")</f>
        <v>Usage report of all discretionary promos for both CRIS and ENS of Inwards &amp; Mig_Inwards customers with Channels, Agents, SAPIDs and Account Number information</v>
      </c>
    </row>
    <row r="59" spans="1:5" x14ac:dyDescent="0.25">
      <c r="A59" s="30">
        <v>42081</v>
      </c>
      <c r="B59" t="s">
        <v>90</v>
      </c>
      <c r="C59" t="s">
        <v>136</v>
      </c>
      <c r="D59" s="12" t="str">
        <f>IFERROR(VLOOKUP(C59,'Data sheet'!$B:$C,2,0),"")</f>
        <v/>
      </c>
      <c r="E59" s="12" t="str">
        <f>IFERROR(VLOOKUP(C59,'Data sheet'!$B:$F,5,0),"")</f>
        <v/>
      </c>
    </row>
    <row r="60" spans="1:5" x14ac:dyDescent="0.25">
      <c r="A60" s="30">
        <v>42083</v>
      </c>
      <c r="B60" t="s">
        <v>113</v>
      </c>
      <c r="C60" t="s">
        <v>34</v>
      </c>
      <c r="D60" s="12" t="str">
        <f>IFERROR(VLOOKUP(C60,'Data sheet'!$B:$C,2,0),"")</f>
        <v>Weekly</v>
      </c>
      <c r="E60" s="12" t="str">
        <f>IFERROR(VLOOKUP(C60,'Data sheet'!$B:$F,5,0),"")</f>
        <v>Churn Tracker at BTN level.</v>
      </c>
    </row>
    <row r="61" spans="1:5" x14ac:dyDescent="0.25">
      <c r="A61" s="30">
        <v>42086</v>
      </c>
      <c r="B61" s="12" t="s">
        <v>113</v>
      </c>
      <c r="C61" s="12" t="s">
        <v>38</v>
      </c>
      <c r="D61" s="12" t="str">
        <f>IFERROR(VLOOKUP(C61,'Data sheet'!$B:$C,2,0),"")</f>
        <v>Other</v>
      </c>
      <c r="E61" s="12" t="str">
        <f>IFERROR(VLOOKUP(C61,'Data sheet'!$B:$F,5,0),"")</f>
        <v>To identify customers who taken Promo 448K and D20301.</v>
      </c>
    </row>
    <row r="62" spans="1:5" x14ac:dyDescent="0.25">
      <c r="A62" s="30">
        <v>42088</v>
      </c>
      <c r="B62" s="12" t="s">
        <v>85</v>
      </c>
      <c r="C62" s="12" t="s">
        <v>133</v>
      </c>
      <c r="D62" s="12" t="str">
        <f>IFERROR(VLOOKUP(C62,'Data sheet'!$B:$C,2,0),"")</f>
        <v>Monthly</v>
      </c>
      <c r="E62" s="12" t="str">
        <f>IFERROR(VLOOKUP(C62,'Data sheet'!$B:$F,5,0),"")</f>
        <v>Provide a sub group summary of Vendor compensation dashboard</v>
      </c>
    </row>
    <row r="63" spans="1:5" x14ac:dyDescent="0.25">
      <c r="A63" s="30">
        <v>42089</v>
      </c>
      <c r="B63" t="s">
        <v>113</v>
      </c>
      <c r="C63" t="s">
        <v>34</v>
      </c>
      <c r="D63" s="12" t="str">
        <f>IFERROR(VLOOKUP(C63,'Data sheet'!$B:$C,2,0),"")</f>
        <v>Weekly</v>
      </c>
      <c r="E63" s="12" t="str">
        <f>IFERROR(VLOOKUP(C63,'Data sheet'!$B:$F,5,0),"")</f>
        <v>Churn Tracker at BTN level.</v>
      </c>
    </row>
    <row r="64" spans="1:5" x14ac:dyDescent="0.25">
      <c r="A64" s="30">
        <v>42090</v>
      </c>
      <c r="B64" t="s">
        <v>91</v>
      </c>
      <c r="C64" t="s">
        <v>17</v>
      </c>
      <c r="D64" s="12" t="str">
        <f>IFERROR(VLOOKUP(C64,'Data sheet'!$B:$C,2,0),"")</f>
        <v>Weekly</v>
      </c>
      <c r="E64" s="12" t="str">
        <f>IFERROR(VLOOKUP(C64,'Data sheet'!$B:$F,5,0),"")</f>
        <v>Promo Reporting on LQ Side</v>
      </c>
    </row>
    <row r="65" spans="1:5" x14ac:dyDescent="0.25">
      <c r="A65" s="30">
        <v>42090</v>
      </c>
      <c r="B65" t="s">
        <v>91</v>
      </c>
      <c r="C65" t="s">
        <v>18</v>
      </c>
      <c r="D65" s="12" t="str">
        <f>IFERROR(VLOOKUP(C65,'Data sheet'!$B:$C,2,0),"")</f>
        <v>Weekly</v>
      </c>
      <c r="E65" s="12" t="str">
        <f>IFERROR(VLOOKUP(C65,'Data sheet'!$B:$F,5,0),"")</f>
        <v>Promo Reporting on LCTL Side</v>
      </c>
    </row>
    <row r="66" spans="1:5" x14ac:dyDescent="0.25">
      <c r="A66" s="30">
        <v>42100</v>
      </c>
      <c r="B66" t="s">
        <v>113</v>
      </c>
      <c r="C66" t="s">
        <v>34</v>
      </c>
      <c r="D66" s="12" t="str">
        <f>IFERROR(VLOOKUP(C66,'Data sheet'!$B:$C,2,0),"")</f>
        <v>Weekly</v>
      </c>
      <c r="E66" s="12" t="str">
        <f>IFERROR(VLOOKUP(C66,'Data sheet'!$B:$F,5,0),"")</f>
        <v>Churn Tracker at BTN level.</v>
      </c>
    </row>
    <row r="67" spans="1:5" x14ac:dyDescent="0.25">
      <c r="A67" s="30">
        <v>42100</v>
      </c>
      <c r="B67" s="12" t="s">
        <v>79</v>
      </c>
      <c r="C67" s="12" t="s">
        <v>28</v>
      </c>
      <c r="D67" s="12" t="str">
        <f>IFERROR(VLOOKUP(C67,'Data sheet'!$B:$C,2,0),"")</f>
        <v>Weekly</v>
      </c>
      <c r="E67" s="12" t="str">
        <f>IFERROR(VLOOKUP(C67,'Data sheet'!$B:$F,5,0),"")</f>
        <v>This report helps to gain clear business insights on customer churn on different dimensions like Region, State wise, Aon, speed includes both product B1 and HSI</v>
      </c>
    </row>
    <row r="68" spans="1:5" x14ac:dyDescent="0.25">
      <c r="A68" s="30">
        <v>42102</v>
      </c>
      <c r="B68" t="s">
        <v>91</v>
      </c>
      <c r="C68" t="s">
        <v>135</v>
      </c>
      <c r="D68" s="12" t="str">
        <f>IFERROR(VLOOKUP(C68,'Data sheet'!$B:$C,2,0),"")</f>
        <v>Weekly</v>
      </c>
      <c r="E68" s="12" t="str">
        <f>IFERROR(VLOOKUP(C68,'Data sheet'!$B:$F,5,0),"")</f>
        <v>Usage report of all discretionary promos for both CRIS and ENS of Inwards &amp; Mig_Inwards customers with Channels, Agents, SAPIDs and Account Number information</v>
      </c>
    </row>
    <row r="69" spans="1:5" x14ac:dyDescent="0.25">
      <c r="A69" s="30">
        <v>42102</v>
      </c>
      <c r="B69" t="s">
        <v>91</v>
      </c>
      <c r="C69" t="s">
        <v>136</v>
      </c>
      <c r="D69" s="12" t="str">
        <f>IFERROR(VLOOKUP(C69,'Data sheet'!$B:$C,2,0),"")</f>
        <v/>
      </c>
      <c r="E69" s="12" t="str">
        <f>IFERROR(VLOOKUP(C69,'Data sheet'!$B:$F,5,0),"")</f>
        <v/>
      </c>
    </row>
    <row r="70" spans="1:5" x14ac:dyDescent="0.25">
      <c r="A70" s="30">
        <v>42103</v>
      </c>
      <c r="B70" s="12" t="s">
        <v>113</v>
      </c>
      <c r="C70" t="s">
        <v>34</v>
      </c>
      <c r="D70" s="12" t="str">
        <f>IFERROR(VLOOKUP(C70,'Data sheet'!$B:$C,2,0),"")</f>
        <v>Weekly</v>
      </c>
      <c r="E70" s="12" t="str">
        <f>IFERROR(VLOOKUP(C70,'Data sheet'!$B:$F,5,0),"")</f>
        <v>Churn Tracker at BTN level.</v>
      </c>
    </row>
    <row r="71" spans="1:5" x14ac:dyDescent="0.25">
      <c r="A71" s="30">
        <v>42104</v>
      </c>
      <c r="B71" s="12" t="s">
        <v>86</v>
      </c>
      <c r="C71" s="12" t="s">
        <v>30</v>
      </c>
      <c r="D71" s="12" t="str">
        <f>IFERROR(VLOOKUP(C71,'Data sheet'!$B:$C,2,0),"")</f>
        <v>Monthly</v>
      </c>
      <c r="E71" s="12" t="str">
        <f>IFERROR(VLOOKUP(C71,'Data sheet'!$B:$F,5,0),"")</f>
        <v>Dashboard for CC</v>
      </c>
    </row>
    <row r="72" spans="1:5" x14ac:dyDescent="0.25">
      <c r="A72" s="30">
        <v>42104</v>
      </c>
      <c r="B72" t="s">
        <v>86</v>
      </c>
      <c r="C72" t="s">
        <v>21</v>
      </c>
      <c r="D72" s="12" t="str">
        <f>IFERROR(VLOOKUP(C72,'Data sheet'!$B:$C,2,0),"")</f>
        <v>Monthly</v>
      </c>
      <c r="E72" s="12" t="str">
        <f>IFERROR(VLOOKUP(C72,'Data sheet'!$B:$F,5,0),"")</f>
        <v>To split LQ/LCTL HSI sales across product categories</v>
      </c>
    </row>
    <row r="73" spans="1:5" x14ac:dyDescent="0.25">
      <c r="A73" s="30">
        <v>42107</v>
      </c>
      <c r="B73" s="12" t="s">
        <v>79</v>
      </c>
      <c r="C73" t="s">
        <v>28</v>
      </c>
      <c r="D73" s="12" t="str">
        <f>IFERROR(VLOOKUP(C73,'Data sheet'!$B:$C,2,0),"")</f>
        <v>Weekly</v>
      </c>
      <c r="E73" s="12" t="str">
        <f>IFERROR(VLOOKUP(C73,'Data sheet'!$B:$F,5,0),"")</f>
        <v>This report helps to gain clear business insights on customer churn on different dimensions like Region, State wise, Aon, speed includes both product B1 and HSI</v>
      </c>
    </row>
    <row r="74" spans="1:5" x14ac:dyDescent="0.25">
      <c r="A74" s="30">
        <v>42107</v>
      </c>
      <c r="B74" s="12" t="s">
        <v>79</v>
      </c>
      <c r="C74" t="s">
        <v>17</v>
      </c>
      <c r="D74" s="12" t="str">
        <f>IFERROR(VLOOKUP(C74,'Data sheet'!$B:$C,2,0),"")</f>
        <v>Weekly</v>
      </c>
      <c r="E74" s="12" t="str">
        <f>IFERROR(VLOOKUP(C74,'Data sheet'!$B:$F,5,0),"")</f>
        <v>Promo Reporting on LQ Side</v>
      </c>
    </row>
    <row r="75" spans="1:5" x14ac:dyDescent="0.25">
      <c r="A75" s="30">
        <v>42107</v>
      </c>
      <c r="B75" s="12" t="s">
        <v>79</v>
      </c>
      <c r="C75" t="s">
        <v>18</v>
      </c>
      <c r="D75" s="12" t="str">
        <f>IFERROR(VLOOKUP(C75,'Data sheet'!$B:$C,2,0),"")</f>
        <v>Weekly</v>
      </c>
      <c r="E75" s="12" t="str">
        <f>IFERROR(VLOOKUP(C75,'Data sheet'!$B:$F,5,0),"")</f>
        <v>Promo Reporting on LCTL Side</v>
      </c>
    </row>
    <row r="76" spans="1:5" x14ac:dyDescent="0.25">
      <c r="A76" s="30">
        <v>42107</v>
      </c>
      <c r="B76" s="12" t="s">
        <v>113</v>
      </c>
      <c r="C76" t="s">
        <v>38</v>
      </c>
      <c r="D76" s="12" t="str">
        <f>IFERROR(VLOOKUP(C76,'Data sheet'!$B:$C,2,0),"")</f>
        <v>Other</v>
      </c>
      <c r="E76" s="12" t="str">
        <f>IFERROR(VLOOKUP(C76,'Data sheet'!$B:$F,5,0),"")</f>
        <v>To identify customers who taken Promo 448K and D20301.</v>
      </c>
    </row>
    <row r="77" spans="1:5" x14ac:dyDescent="0.25">
      <c r="A77" s="30">
        <v>42108</v>
      </c>
      <c r="B77" s="12" t="s">
        <v>85</v>
      </c>
      <c r="C77" s="12" t="s">
        <v>133</v>
      </c>
      <c r="D77" s="12" t="str">
        <f>IFERROR(VLOOKUP(C77,'Data sheet'!$B:$C,2,0),"")</f>
        <v>Monthly</v>
      </c>
      <c r="E77" s="12" t="str">
        <f>IFERROR(VLOOKUP(C77,'Data sheet'!$B:$F,5,0),"")</f>
        <v>Provide a sub group summary of Vendor compensation dashboard</v>
      </c>
    </row>
    <row r="78" spans="1:5" x14ac:dyDescent="0.25">
      <c r="A78" s="30">
        <v>42109</v>
      </c>
      <c r="B78" s="12" t="s">
        <v>90</v>
      </c>
      <c r="C78" s="12" t="s">
        <v>135</v>
      </c>
      <c r="D78" s="12" t="str">
        <f>IFERROR(VLOOKUP(C78,'Data sheet'!$B:$C,2,0),"")</f>
        <v>Weekly</v>
      </c>
      <c r="E78" s="12" t="str">
        <f>IFERROR(VLOOKUP(C78,'Data sheet'!$B:$F,5,0),"")</f>
        <v>Usage report of all discretionary promos for both CRIS and ENS of Inwards &amp; Mig_Inwards customers with Channels, Agents, SAPIDs and Account Number information</v>
      </c>
    </row>
    <row r="79" spans="1:5" x14ac:dyDescent="0.25">
      <c r="A79" s="30">
        <v>42109</v>
      </c>
      <c r="B79" s="12" t="s">
        <v>90</v>
      </c>
      <c r="C79" s="12" t="s">
        <v>136</v>
      </c>
      <c r="D79" s="12" t="str">
        <f>IFERROR(VLOOKUP(C79,'Data sheet'!$B:$C,2,0),"")</f>
        <v/>
      </c>
      <c r="E79" s="12" t="str">
        <f>IFERROR(VLOOKUP(C79,'Data sheet'!$B:$F,5,0),"")</f>
        <v/>
      </c>
    </row>
    <row r="80" spans="1:5" x14ac:dyDescent="0.25">
      <c r="A80" s="30">
        <v>42110</v>
      </c>
      <c r="B80" s="12" t="s">
        <v>113</v>
      </c>
      <c r="C80" s="12" t="s">
        <v>34</v>
      </c>
      <c r="D80" s="12" t="str">
        <f>IFERROR(VLOOKUP(C80,'Data sheet'!$B:$C,2,0),"")</f>
        <v>Weekly</v>
      </c>
      <c r="E80" s="12" t="str">
        <f>IFERROR(VLOOKUP(C80,'Data sheet'!$B:$F,5,0),"")</f>
        <v>Churn Tracker at BTN level.</v>
      </c>
    </row>
    <row r="81" spans="1:5" x14ac:dyDescent="0.25">
      <c r="A81" s="30">
        <v>42111</v>
      </c>
      <c r="B81" s="12" t="s">
        <v>91</v>
      </c>
      <c r="C81" s="12" t="s">
        <v>17</v>
      </c>
      <c r="D81" s="12" t="str">
        <f>IFERROR(VLOOKUP(C81,'Data sheet'!$B:$C,2,0),"")</f>
        <v>Weekly</v>
      </c>
      <c r="E81" s="12" t="str">
        <f>IFERROR(VLOOKUP(C81,'Data sheet'!$B:$F,5,0),"")</f>
        <v>Promo Reporting on LQ Side</v>
      </c>
    </row>
    <row r="82" spans="1:5" x14ac:dyDescent="0.25">
      <c r="A82" s="30">
        <v>42111</v>
      </c>
      <c r="B82" s="12" t="s">
        <v>91</v>
      </c>
      <c r="C82" s="12" t="s">
        <v>18</v>
      </c>
      <c r="D82" s="12" t="str">
        <f>IFERROR(VLOOKUP(C82,'Data sheet'!$B:$C,2,0),"")</f>
        <v>Weekly</v>
      </c>
      <c r="E82" s="12" t="str">
        <f>IFERROR(VLOOKUP(C82,'Data sheet'!$B:$F,5,0),"")</f>
        <v>Promo Reporting on LCTL Side</v>
      </c>
    </row>
    <row r="83" spans="1:5" x14ac:dyDescent="0.25">
      <c r="A83" s="30">
        <v>42115</v>
      </c>
      <c r="B83" s="12" t="s">
        <v>90</v>
      </c>
      <c r="C83" s="12" t="s">
        <v>40</v>
      </c>
      <c r="D83" s="12" t="str">
        <f>IFERROR(VLOOKUP(C83,'Data sheet'!$B:$C,2,0),"")</f>
        <v>Monthly</v>
      </c>
      <c r="E83" s="12" t="str">
        <f>IFERROR(VLOOKUP(C83,'Data sheet'!$B:$F,5,0),"")</f>
        <v>Dashboard containing KPIs of all the products of SMB</v>
      </c>
    </row>
    <row r="84" spans="1:5" x14ac:dyDescent="0.25">
      <c r="A84" s="30">
        <v>42116</v>
      </c>
      <c r="B84" t="s">
        <v>91</v>
      </c>
      <c r="C84" t="s">
        <v>135</v>
      </c>
      <c r="D84" s="12" t="str">
        <f>IFERROR(VLOOKUP(C84,'Data sheet'!$B:$C,2,0),"")</f>
        <v>Weekly</v>
      </c>
      <c r="E84" s="12" t="str">
        <f>IFERROR(VLOOKUP(C84,'Data sheet'!$B:$F,5,0),"")</f>
        <v>Usage report of all discretionary promos for both CRIS and ENS of Inwards &amp; Mig_Inwards customers with Channels, Agents, SAPIDs and Account Number information</v>
      </c>
    </row>
    <row r="85" spans="1:5" x14ac:dyDescent="0.25">
      <c r="A85" s="30">
        <v>42116</v>
      </c>
      <c r="B85" s="12" t="s">
        <v>90</v>
      </c>
      <c r="C85" s="12" t="s">
        <v>136</v>
      </c>
      <c r="D85" s="12" t="str">
        <f>IFERROR(VLOOKUP(C85,'Data sheet'!$B:$C,2,0),"")</f>
        <v/>
      </c>
      <c r="E85" s="12" t="str">
        <f>IFERROR(VLOOKUP(C85,'Data sheet'!$B:$F,5,0),"")</f>
        <v/>
      </c>
    </row>
    <row r="86" spans="1:5" x14ac:dyDescent="0.25">
      <c r="A86" s="30">
        <v>42130</v>
      </c>
      <c r="B86" s="12" t="s">
        <v>91</v>
      </c>
      <c r="C86" s="12" t="s">
        <v>135</v>
      </c>
      <c r="D86" s="12" t="str">
        <f>IFERROR(VLOOKUP(C86,'Data sheet'!$B:$C,2,0),"")</f>
        <v>Weekly</v>
      </c>
      <c r="E86" s="12" t="str">
        <f>IFERROR(VLOOKUP(C86,'Data sheet'!$B:$F,5,0),"")</f>
        <v>Usage report of all discretionary promos for both CRIS and ENS of Inwards &amp; Mig_Inwards customers with Channels, Agents, SAPIDs and Account Number information</v>
      </c>
    </row>
    <row r="87" spans="1:5" x14ac:dyDescent="0.25">
      <c r="A87" s="30">
        <v>42130</v>
      </c>
      <c r="B87" s="12" t="s">
        <v>91</v>
      </c>
      <c r="C87" s="12" t="s">
        <v>136</v>
      </c>
      <c r="D87" s="12" t="str">
        <f>IFERROR(VLOOKUP(C87,'Data sheet'!$B:$C,2,0),"")</f>
        <v/>
      </c>
      <c r="E87" s="12" t="str">
        <f>IFERROR(VLOOKUP(C87,'Data sheet'!$B:$F,5,0),"")</f>
        <v/>
      </c>
    </row>
    <row r="88" spans="1:5" x14ac:dyDescent="0.25">
      <c r="A88" s="30">
        <v>42132</v>
      </c>
      <c r="B88" s="12" t="s">
        <v>91</v>
      </c>
      <c r="C88" s="12" t="s">
        <v>17</v>
      </c>
      <c r="D88" s="12" t="str">
        <f>IFERROR(VLOOKUP(C88,'Data sheet'!$B:$C,2,0),"")</f>
        <v>Weekly</v>
      </c>
      <c r="E88" s="12" t="str">
        <f>IFERROR(VLOOKUP(C88,'Data sheet'!$B:$F,5,0),"")</f>
        <v>Promo Reporting on LQ Side</v>
      </c>
    </row>
    <row r="89" spans="1:5" x14ac:dyDescent="0.25">
      <c r="A89" s="30">
        <v>42132</v>
      </c>
      <c r="B89" s="12" t="s">
        <v>91</v>
      </c>
      <c r="C89" s="12" t="s">
        <v>18</v>
      </c>
      <c r="D89" s="12" t="str">
        <f>IFERROR(VLOOKUP(C89,'Data sheet'!$B:$C,2,0),"")</f>
        <v>Weekly</v>
      </c>
      <c r="E89" s="12" t="str">
        <f>IFERROR(VLOOKUP(C89,'Data sheet'!$B:$F,5,0),"")</f>
        <v>Promo Reporting on LCTL Side</v>
      </c>
    </row>
    <row r="90" spans="1:5" x14ac:dyDescent="0.25">
      <c r="A90" s="30">
        <v>42132</v>
      </c>
      <c r="B90" s="12" t="s">
        <v>91</v>
      </c>
      <c r="C90" s="12" t="s">
        <v>135</v>
      </c>
      <c r="D90" s="12" t="str">
        <f>IFERROR(VLOOKUP(C90,'Data sheet'!$B:$C,2,0),"")</f>
        <v>Weekly</v>
      </c>
      <c r="E90" s="12" t="str">
        <f>IFERROR(VLOOKUP(C90,'Data sheet'!$B:$F,5,0),"")</f>
        <v>Usage report of all discretionary promos for both CRIS and ENS of Inwards &amp; Mig_Inwards customers with Channels, Agents, SAPIDs and Account Number information</v>
      </c>
    </row>
    <row r="91" spans="1:5" x14ac:dyDescent="0.25">
      <c r="A91" s="30">
        <v>42132</v>
      </c>
      <c r="B91" t="s">
        <v>91</v>
      </c>
      <c r="C91" t="s">
        <v>136</v>
      </c>
      <c r="D91" s="12" t="str">
        <f>IFERROR(VLOOKUP(C91,'Data sheet'!$B:$C,2,0),"")</f>
        <v/>
      </c>
      <c r="E91" s="12" t="str">
        <f>IFERROR(VLOOKUP(C91,'Data sheet'!$B:$F,5,0),"")</f>
        <v/>
      </c>
    </row>
    <row r="92" spans="1:5" x14ac:dyDescent="0.25">
      <c r="A92" s="30">
        <v>42135</v>
      </c>
      <c r="B92" t="s">
        <v>86</v>
      </c>
      <c r="C92" t="s">
        <v>27</v>
      </c>
      <c r="D92" s="12" t="str">
        <f>IFERROR(VLOOKUP(C92,'Data sheet'!$B:$C,2,0),"")</f>
        <v>Monthly</v>
      </c>
      <c r="E92" s="12">
        <f>IFERROR(VLOOKUP(C92,'Data sheet'!$B:$F,5,0),"")</f>
        <v>0</v>
      </c>
    </row>
    <row r="93" spans="1:5" x14ac:dyDescent="0.25">
      <c r="A93" s="30">
        <v>42135</v>
      </c>
      <c r="B93" t="s">
        <v>86</v>
      </c>
      <c r="C93" t="s">
        <v>21</v>
      </c>
      <c r="D93" s="12" t="str">
        <f>IFERROR(VLOOKUP(C93,'Data sheet'!$B:$C,2,0),"")</f>
        <v>Monthly</v>
      </c>
      <c r="E93" s="12" t="str">
        <f>IFERROR(VLOOKUP(C93,'Data sheet'!$B:$F,5,0),"")</f>
        <v>To split LQ/LCTL HSI sales across product categories</v>
      </c>
    </row>
    <row r="94" spans="1:5" x14ac:dyDescent="0.25">
      <c r="A94" s="30">
        <v>42135</v>
      </c>
      <c r="B94" t="s">
        <v>86</v>
      </c>
      <c r="C94" s="12" t="s">
        <v>155</v>
      </c>
      <c r="D94" s="12" t="str">
        <f>IFERROR(VLOOKUP(C94,'Data sheet'!$B:$C,2,0),"")</f>
        <v>Weekly</v>
      </c>
      <c r="E94" s="12" t="str">
        <f>IFERROR(VLOOKUP(C94,'Data sheet'!$B:$F,5,0),"")</f>
        <v>CRIS Side Core Connect information</v>
      </c>
    </row>
    <row r="95" spans="1:5" x14ac:dyDescent="0.25">
      <c r="A95" s="30">
        <v>42136</v>
      </c>
      <c r="B95" s="12" t="s">
        <v>79</v>
      </c>
      <c r="C95" t="s">
        <v>38</v>
      </c>
      <c r="D95" s="12" t="str">
        <f>IFERROR(VLOOKUP(C95,'Data sheet'!$B:$C,2,0),"")</f>
        <v>Other</v>
      </c>
      <c r="E95" s="12" t="str">
        <f>IFERROR(VLOOKUP(C95,'Data sheet'!$B:$F,5,0),"")</f>
        <v>To identify customers who taken Promo 448K and D20301.</v>
      </c>
    </row>
    <row r="96" spans="1:5" x14ac:dyDescent="0.25">
      <c r="A96" s="30">
        <v>42136</v>
      </c>
      <c r="B96" s="12" t="s">
        <v>79</v>
      </c>
      <c r="C96" s="12" t="s">
        <v>28</v>
      </c>
      <c r="D96" s="12" t="str">
        <f>IFERROR(VLOOKUP(C96,'Data sheet'!$B:$C,2,0),"")</f>
        <v>Weekly</v>
      </c>
      <c r="E96" s="12" t="str">
        <f>IFERROR(VLOOKUP(C96,'Data sheet'!$B:$F,5,0),"")</f>
        <v>This report helps to gain clear business insights on customer churn on different dimensions like Region, State wise, Aon, speed includes both product B1 and HSI</v>
      </c>
    </row>
    <row r="97" spans="1:5" x14ac:dyDescent="0.25">
      <c r="A97" s="30">
        <v>42136</v>
      </c>
      <c r="B97" s="12" t="s">
        <v>91</v>
      </c>
      <c r="C97" s="12" t="s">
        <v>135</v>
      </c>
      <c r="D97" s="12" t="str">
        <f>IFERROR(VLOOKUP(C97,'Data sheet'!$B:$C,2,0),"")</f>
        <v>Weekly</v>
      </c>
      <c r="E97" s="12" t="str">
        <f>IFERROR(VLOOKUP(C97,'Data sheet'!$B:$F,5,0),"")</f>
        <v>Usage report of all discretionary promos for both CRIS and ENS of Inwards &amp; Mig_Inwards customers with Channels, Agents, SAPIDs and Account Number information</v>
      </c>
    </row>
    <row r="98" spans="1:5" x14ac:dyDescent="0.25">
      <c r="A98" s="30">
        <v>42136</v>
      </c>
      <c r="B98" t="s">
        <v>91</v>
      </c>
      <c r="C98" t="s">
        <v>136</v>
      </c>
      <c r="D98" s="12" t="str">
        <f>IFERROR(VLOOKUP(C98,'Data sheet'!$B:$C,2,0),"")</f>
        <v/>
      </c>
      <c r="E98" s="12" t="str">
        <f>IFERROR(VLOOKUP(C98,'Data sheet'!$B:$F,5,0),"")</f>
        <v/>
      </c>
    </row>
    <row r="99" spans="1:5" x14ac:dyDescent="0.25">
      <c r="A99" s="30">
        <v>42137</v>
      </c>
      <c r="B99" s="12" t="s">
        <v>91</v>
      </c>
      <c r="C99" t="s">
        <v>135</v>
      </c>
      <c r="D99" s="12" t="str">
        <f>IFERROR(VLOOKUP(C99,'Data sheet'!$B:$C,2,0),"")</f>
        <v>Weekly</v>
      </c>
      <c r="E99" s="12" t="str">
        <f>IFERROR(VLOOKUP(C99,'Data sheet'!$B:$F,5,0),"")</f>
        <v>Usage report of all discretionary promos for both CRIS and ENS of Inwards &amp; Mig_Inwards customers with Channels, Agents, SAPIDs and Account Number information</v>
      </c>
    </row>
    <row r="100" spans="1:5" x14ac:dyDescent="0.25">
      <c r="A100" s="30">
        <v>42137</v>
      </c>
      <c r="B100" s="12" t="s">
        <v>91</v>
      </c>
      <c r="C100" t="s">
        <v>136</v>
      </c>
      <c r="D100" s="12" t="str">
        <f>IFERROR(VLOOKUP(C100,'Data sheet'!$B:$C,2,0),"")</f>
        <v/>
      </c>
      <c r="E100" s="12" t="str">
        <f>IFERROR(VLOOKUP(C100,'Data sheet'!$B:$F,5,0),"")</f>
        <v/>
      </c>
    </row>
    <row r="101" spans="1:5" s="12" customFormat="1" x14ac:dyDescent="0.25">
      <c r="A101" s="30">
        <v>42137</v>
      </c>
      <c r="B101" s="12" t="s">
        <v>159</v>
      </c>
      <c r="C101" s="12" t="s">
        <v>15</v>
      </c>
      <c r="D101" s="12" t="str">
        <f>IFERROR(VLOOKUP(C101,'Data sheet'!$B:$C,2,0),"")</f>
        <v>Weekly</v>
      </c>
      <c r="E101" s="12" t="str">
        <f>IFERROR(VLOOKUP(C101,'Data sheet'!$B:$F,5,0),"")</f>
        <v>Weekly Churn Report of Bus Soln customer on LQ Side</v>
      </c>
    </row>
    <row r="102" spans="1:5" s="12" customFormat="1" x14ac:dyDescent="0.25">
      <c r="A102" s="30">
        <v>42137</v>
      </c>
      <c r="B102" s="12" t="s">
        <v>159</v>
      </c>
      <c r="C102" s="12" t="s">
        <v>16</v>
      </c>
      <c r="D102" s="12" t="str">
        <f>IFERROR(VLOOKUP(C102,'Data sheet'!$B:$C,2,0),"")</f>
        <v>Weekly</v>
      </c>
      <c r="E102" s="12" t="str">
        <f>IFERROR(VLOOKUP(C102,'Data sheet'!$B:$F,5,0),"")</f>
        <v>Weekly Churn Report of Bus Soln customer on LCTL Side</v>
      </c>
    </row>
    <row r="103" spans="1:5" s="12" customFormat="1" x14ac:dyDescent="0.25">
      <c r="A103" s="30">
        <v>42138</v>
      </c>
      <c r="B103" s="12" t="s">
        <v>85</v>
      </c>
      <c r="C103" s="12" t="s">
        <v>57</v>
      </c>
      <c r="D103" s="12" t="str">
        <f>IFERROR(VLOOKUP(C103,'Data sheet'!$B:$C,2,0),"")</f>
        <v>Monthly</v>
      </c>
      <c r="E103" s="12" t="str">
        <f>IFERROR(VLOOKUP(C103,'Data sheet'!$B:$F,5,0),"")</f>
        <v>New to Logo and Full disconnect customer analysis</v>
      </c>
    </row>
    <row r="104" spans="1:5" s="12" customFormat="1" x14ac:dyDescent="0.25">
      <c r="A104" s="30">
        <v>42139</v>
      </c>
      <c r="B104" s="12" t="s">
        <v>85</v>
      </c>
      <c r="C104" s="12" t="s">
        <v>32</v>
      </c>
      <c r="D104" s="12" t="s">
        <v>64</v>
      </c>
      <c r="E104" s="12" t="str">
        <f>IFERROR(VLOOKUP(C104,'Data sheet'!$B:$F,5,0),"")</f>
        <v xml:space="preserve">Processing data for vendor comp (Alt market + Indirect Retail) for both LQ and LCTL </v>
      </c>
    </row>
    <row r="105" spans="1:5" s="12" customFormat="1" x14ac:dyDescent="0.25">
      <c r="A105" s="30">
        <v>42139</v>
      </c>
      <c r="B105" s="12" t="s">
        <v>91</v>
      </c>
      <c r="C105" s="12" t="s">
        <v>17</v>
      </c>
      <c r="D105" s="12" t="str">
        <f>IFERROR(VLOOKUP(C105,'Data sheet'!$B:$C,2,0),"")</f>
        <v>Weekly</v>
      </c>
      <c r="E105" s="12" t="str">
        <f>IFERROR(VLOOKUP(C105,'Data sheet'!$B:$F,5,0),"")</f>
        <v>Promo Reporting on LQ Side</v>
      </c>
    </row>
    <row r="106" spans="1:5" x14ac:dyDescent="0.25">
      <c r="A106" s="30">
        <v>42139</v>
      </c>
      <c r="B106" s="12" t="s">
        <v>91</v>
      </c>
      <c r="C106" s="12" t="s">
        <v>18</v>
      </c>
      <c r="D106" s="12" t="str">
        <f>IFERROR(VLOOKUP(C106,'Data sheet'!$B:$C,2,0),"")</f>
        <v>Weekly</v>
      </c>
      <c r="E106" s="12" t="str">
        <f>IFERROR(VLOOKUP(C106,'Data sheet'!$B:$F,5,0),"")</f>
        <v>Promo Reporting on LCTL Side</v>
      </c>
    </row>
    <row r="107" spans="1:5" x14ac:dyDescent="0.25">
      <c r="A107" s="30">
        <v>42143</v>
      </c>
      <c r="B107" s="12" t="s">
        <v>79</v>
      </c>
      <c r="C107" s="12"/>
      <c r="E107" s="12" t="s">
        <v>169</v>
      </c>
    </row>
    <row r="108" spans="1:5" x14ac:dyDescent="0.25">
      <c r="A108" s="30">
        <v>42144</v>
      </c>
      <c r="B108" s="12" t="s">
        <v>85</v>
      </c>
      <c r="C108" s="12" t="s">
        <v>40</v>
      </c>
      <c r="D108" s="12" t="str">
        <f>IFERROR(VLOOKUP(C108,'Data sheet'!$B:$C,2,0),"")</f>
        <v>Monthly</v>
      </c>
      <c r="E108" s="12" t="str">
        <f>IFERROR(VLOOKUP(C108,'Data sheet'!$B:$F,5,0),"")</f>
        <v>Dashboard containing KPIs of all the products of SMB</v>
      </c>
    </row>
    <row r="109" spans="1:5" x14ac:dyDescent="0.25">
      <c r="A109" s="30">
        <v>42144</v>
      </c>
      <c r="B109" t="s">
        <v>85</v>
      </c>
      <c r="C109" t="s">
        <v>133</v>
      </c>
      <c r="D109" s="12" t="str">
        <f>IFERROR(VLOOKUP(C109,'Data sheet'!$B:$C,2,0),"")</f>
        <v>Monthly</v>
      </c>
      <c r="E109" s="12" t="str">
        <f>IFERROR(VLOOKUP(C109,'Data sheet'!$B:$F,5,0),"")</f>
        <v>Provide a sub group summary of Vendor compensation dashboard</v>
      </c>
    </row>
    <row r="110" spans="1:5" x14ac:dyDescent="0.25">
      <c r="A110" s="30">
        <v>42146</v>
      </c>
      <c r="B110" t="s">
        <v>91</v>
      </c>
      <c r="C110" t="s">
        <v>17</v>
      </c>
      <c r="D110" s="12" t="str">
        <f>IFERROR(VLOOKUP(C110,'Data sheet'!$B:$C,2,0),"")</f>
        <v>Weekly</v>
      </c>
      <c r="E110" s="12" t="str">
        <f>IFERROR(VLOOKUP(C110,'Data sheet'!$B:$F,5,0),"")</f>
        <v>Promo Reporting on LQ Side</v>
      </c>
    </row>
    <row r="111" spans="1:5" x14ac:dyDescent="0.25">
      <c r="A111" s="30">
        <v>42146</v>
      </c>
      <c r="B111" s="12" t="s">
        <v>91</v>
      </c>
      <c r="C111" s="12" t="s">
        <v>18</v>
      </c>
      <c r="D111" s="12" t="str">
        <f>IFERROR(VLOOKUP(C111,'Data sheet'!$B:$C,2,0),"")</f>
        <v>Weekly</v>
      </c>
      <c r="E111" s="12" t="str">
        <f>IFERROR(VLOOKUP(C111,'Data sheet'!$B:$F,5,0),"")</f>
        <v>Promo Reporting on LCTL Side</v>
      </c>
    </row>
    <row r="112" spans="1:5" x14ac:dyDescent="0.25">
      <c r="A112" s="30">
        <v>42151</v>
      </c>
      <c r="B112" s="12" t="s">
        <v>91</v>
      </c>
      <c r="C112" s="12" t="s">
        <v>135</v>
      </c>
      <c r="D112" s="12" t="str">
        <f>IFERROR(VLOOKUP(C112,'Data sheet'!$B:$C,2,0),"")</f>
        <v>Weekly</v>
      </c>
      <c r="E112" s="12" t="str">
        <f>IFERROR(VLOOKUP(C112,'Data sheet'!$B:$F,5,0),"")</f>
        <v>Usage report of all discretionary promos for both CRIS and ENS of Inwards &amp; Mig_Inwards customers with Channels, Agents, SAPIDs and Account Number information</v>
      </c>
    </row>
    <row r="113" spans="1:5" x14ac:dyDescent="0.25">
      <c r="A113" s="30">
        <v>42151</v>
      </c>
      <c r="B113" s="12" t="s">
        <v>91</v>
      </c>
      <c r="C113" s="12" t="s">
        <v>136</v>
      </c>
      <c r="D113" s="12" t="str">
        <f>IFERROR(VLOOKUP(C113,'Data sheet'!$B:$C,2,0),"")</f>
        <v/>
      </c>
      <c r="E113" s="12" t="str">
        <f>IFERROR(VLOOKUP(C113,'Data sheet'!$B:$F,5,0),"")</f>
        <v/>
      </c>
    </row>
    <row r="114" spans="1:5" x14ac:dyDescent="0.25">
      <c r="A114" s="30">
        <v>42153</v>
      </c>
      <c r="B114" s="12" t="s">
        <v>86</v>
      </c>
      <c r="C114" s="12" t="s">
        <v>33</v>
      </c>
      <c r="D114" s="12" t="str">
        <f>IFERROR(VLOOKUP(C114,'Data sheet'!$B:$C,2,0),"")</f>
        <v>Weekly</v>
      </c>
      <c r="E114" s="12" t="str">
        <f>IFERROR(VLOOKUP(C114,'Data sheet'!$B:$F,5,0),"")</f>
        <v>To track calls and drops for soho TF</v>
      </c>
    </row>
    <row r="115" spans="1:5" x14ac:dyDescent="0.25">
      <c r="A115" s="30">
        <v>42153</v>
      </c>
      <c r="B115" s="12" t="s">
        <v>91</v>
      </c>
      <c r="C115" s="12" t="s">
        <v>17</v>
      </c>
      <c r="D115" s="12" t="str">
        <f>IFERROR(VLOOKUP(C115,'Data sheet'!$B:$C,2,0),"")</f>
        <v>Weekly</v>
      </c>
      <c r="E115" s="12" t="str">
        <f>IFERROR(VLOOKUP(C115,'Data sheet'!$B:$F,5,0),"")</f>
        <v>Promo Reporting on LQ Side</v>
      </c>
    </row>
    <row r="116" spans="1:5" x14ac:dyDescent="0.25">
      <c r="A116" s="30">
        <v>42153</v>
      </c>
      <c r="B116" s="12" t="s">
        <v>91</v>
      </c>
      <c r="C116" s="12" t="s">
        <v>18</v>
      </c>
      <c r="D116" s="12" t="str">
        <f>IFERROR(VLOOKUP(C116,'Data sheet'!$B:$C,2,0),"")</f>
        <v>Weekly</v>
      </c>
      <c r="E116" s="12" t="str">
        <f>IFERROR(VLOOKUP(C116,'Data sheet'!$B:$F,5,0),"")</f>
        <v>Promo Reporting on LCTL Side</v>
      </c>
    </row>
    <row r="117" spans="1:5" x14ac:dyDescent="0.25">
      <c r="A117" s="30">
        <v>42158</v>
      </c>
      <c r="B117" s="12" t="s">
        <v>91</v>
      </c>
      <c r="C117" s="12" t="s">
        <v>135</v>
      </c>
      <c r="D117" s="12" t="str">
        <f>IFERROR(VLOOKUP(C117,'Data sheet'!$B:$C,2,0),"")</f>
        <v>Weekly</v>
      </c>
      <c r="E117" s="12" t="str">
        <f>IFERROR(VLOOKUP(C117,'Data sheet'!$B:$F,5,0),"")</f>
        <v>Usage report of all discretionary promos for both CRIS and ENS of Inwards &amp; Mig_Inwards customers with Channels, Agents, SAPIDs and Account Number information</v>
      </c>
    </row>
    <row r="118" spans="1:5" x14ac:dyDescent="0.25">
      <c r="A118" s="30">
        <v>42158</v>
      </c>
      <c r="B118" s="12" t="s">
        <v>91</v>
      </c>
      <c r="C118" s="12" t="s">
        <v>136</v>
      </c>
      <c r="D118" s="12" t="str">
        <f>IFERROR(VLOOKUP(C118,'Data sheet'!$B:$C,2,0),"")</f>
        <v/>
      </c>
      <c r="E118" s="12" t="str">
        <f>IFERROR(VLOOKUP(C118,'Data sheet'!$B:$F,5,0),"")</f>
        <v/>
      </c>
    </row>
    <row r="119" spans="1:5" x14ac:dyDescent="0.25">
      <c r="A119" s="30">
        <v>42165</v>
      </c>
      <c r="B119" s="12" t="s">
        <v>86</v>
      </c>
      <c r="C119" s="12" t="s">
        <v>27</v>
      </c>
      <c r="D119" s="12" t="str">
        <f>IFERROR(VLOOKUP(C119,'Data sheet'!$B:$C,2,0),"")</f>
        <v>Monthly</v>
      </c>
      <c r="E119" s="12">
        <f>IFERROR(VLOOKUP(C119,'Data sheet'!$B:$F,5,0),"")</f>
        <v>0</v>
      </c>
    </row>
    <row r="120" spans="1:5" x14ac:dyDescent="0.25">
      <c r="A120" s="30">
        <v>42165</v>
      </c>
      <c r="B120" s="12" t="s">
        <v>86</v>
      </c>
      <c r="C120" s="12" t="s">
        <v>21</v>
      </c>
      <c r="D120" s="12" t="str">
        <f>IFERROR(VLOOKUP(C120,'Data sheet'!$B:$C,2,0),"")</f>
        <v>Monthly</v>
      </c>
      <c r="E120" s="12" t="str">
        <f>IFERROR(VLOOKUP(C120,'Data sheet'!$B:$F,5,0),"")</f>
        <v>To split LQ/LCTL HSI sales across product categories</v>
      </c>
    </row>
    <row r="121" spans="1:5" x14ac:dyDescent="0.25">
      <c r="A121" s="30">
        <v>42165</v>
      </c>
      <c r="B121" s="12" t="s">
        <v>86</v>
      </c>
      <c r="C121" s="12" t="s">
        <v>155</v>
      </c>
      <c r="D121" s="12" t="str">
        <f>IFERROR(VLOOKUP(C121,'Data sheet'!$B:$C,2,0),"")</f>
        <v>Weekly</v>
      </c>
      <c r="E121" s="12" t="str">
        <f>IFERROR(VLOOKUP(C121,'Data sheet'!$B:$F,5,0),"")</f>
        <v>CRIS Side Core Connect information</v>
      </c>
    </row>
    <row r="122" spans="1:5" x14ac:dyDescent="0.25">
      <c r="A122" s="30">
        <v>42165</v>
      </c>
      <c r="B122" s="12" t="s">
        <v>91</v>
      </c>
      <c r="C122" s="12" t="s">
        <v>135</v>
      </c>
      <c r="D122" s="12" t="str">
        <f>IFERROR(VLOOKUP(C122,'Data sheet'!$B:$C,2,0),"")</f>
        <v>Weekly</v>
      </c>
      <c r="E122" s="12" t="str">
        <f>IFERROR(VLOOKUP(C122,'Data sheet'!$B:$F,5,0),"")</f>
        <v>Usage report of all discretionary promos for both CRIS and ENS of Inwards &amp; Mig_Inwards customers with Channels, Agents, SAPIDs and Account Number information</v>
      </c>
    </row>
    <row r="123" spans="1:5" x14ac:dyDescent="0.25">
      <c r="A123" s="30">
        <v>42165</v>
      </c>
      <c r="B123" s="12" t="s">
        <v>91</v>
      </c>
      <c r="C123" s="12" t="s">
        <v>136</v>
      </c>
      <c r="D123" s="12" t="str">
        <f>IFERROR(VLOOKUP(C123,'Data sheet'!$B:$C,2,0),"")</f>
        <v/>
      </c>
      <c r="E123" s="12" t="str">
        <f>IFERROR(VLOOKUP(C123,'Data sheet'!$B:$F,5,0),"")</f>
        <v/>
      </c>
    </row>
    <row r="124" spans="1:5" x14ac:dyDescent="0.25">
      <c r="A124" s="30">
        <v>42165</v>
      </c>
      <c r="B124" s="12" t="s">
        <v>91</v>
      </c>
      <c r="C124" s="12" t="s">
        <v>17</v>
      </c>
      <c r="D124" s="12" t="str">
        <f>IFERROR(VLOOKUP(C124,'Data sheet'!$B:$C,2,0),"")</f>
        <v>Weekly</v>
      </c>
      <c r="E124" s="12" t="str">
        <f>IFERROR(VLOOKUP(C124,'Data sheet'!$B:$F,5,0),"")</f>
        <v>Promo Reporting on LQ Side</v>
      </c>
    </row>
    <row r="125" spans="1:5" x14ac:dyDescent="0.25">
      <c r="A125" s="30">
        <v>42165</v>
      </c>
      <c r="B125" s="12" t="s">
        <v>91</v>
      </c>
      <c r="C125" s="12" t="s">
        <v>18</v>
      </c>
      <c r="D125" s="12" t="str">
        <f>IFERROR(VLOOKUP(C125,'Data sheet'!$B:$C,2,0),"")</f>
        <v>Weekly</v>
      </c>
      <c r="E125" s="12" t="str">
        <f>IFERROR(VLOOKUP(C125,'Data sheet'!$B:$F,5,0),"")</f>
        <v>Promo Reporting on LCTL Side</v>
      </c>
    </row>
    <row r="126" spans="1:5" x14ac:dyDescent="0.25">
      <c r="A126" s="30">
        <v>42165</v>
      </c>
      <c r="B126" s="12" t="s">
        <v>79</v>
      </c>
      <c r="C126" s="12" t="s">
        <v>28</v>
      </c>
      <c r="D126" s="12" t="str">
        <f>IFERROR(VLOOKUP(C126,'Data sheet'!$B:$C,2,0),"")</f>
        <v>Weekly</v>
      </c>
      <c r="E126" s="12" t="str">
        <f>IFERROR(VLOOKUP(C126,'Data sheet'!$B:$F,5,0),"")</f>
        <v>This report helps to gain clear business insights on customer churn on different dimensions like Region, State wise, Aon, speed includes both product B1 and HSI</v>
      </c>
    </row>
    <row r="127" spans="1:5" x14ac:dyDescent="0.25">
      <c r="A127" s="30">
        <v>42167</v>
      </c>
      <c r="B127" s="12" t="s">
        <v>91</v>
      </c>
      <c r="C127" s="12" t="s">
        <v>17</v>
      </c>
      <c r="D127" s="12" t="str">
        <f>IFERROR(VLOOKUP(C127,'Data sheet'!$B:$C,2,0),"")</f>
        <v>Weekly</v>
      </c>
      <c r="E127" s="12" t="str">
        <f>IFERROR(VLOOKUP(C127,'Data sheet'!$B:$F,5,0),"")</f>
        <v>Promo Reporting on LQ Side</v>
      </c>
    </row>
    <row r="128" spans="1:5" x14ac:dyDescent="0.25">
      <c r="A128" s="30">
        <v>42167</v>
      </c>
      <c r="B128" s="12" t="s">
        <v>91</v>
      </c>
      <c r="C128" s="12" t="s">
        <v>18</v>
      </c>
      <c r="D128" s="12" t="str">
        <f>IFERROR(VLOOKUP(C128,'Data sheet'!$B:$C,2,0),"")</f>
        <v>Weekly</v>
      </c>
      <c r="E128" s="12" t="str">
        <f>IFERROR(VLOOKUP(C128,'Data sheet'!$B:$F,5,0),"")</f>
        <v>Promo Reporting on LCTL Side</v>
      </c>
    </row>
    <row r="129" spans="1:5" x14ac:dyDescent="0.25">
      <c r="A129" s="30">
        <v>42172</v>
      </c>
      <c r="B129" s="12" t="s">
        <v>91</v>
      </c>
      <c r="C129" s="12" t="s">
        <v>136</v>
      </c>
      <c r="D129" s="12" t="str">
        <f>IFERROR(VLOOKUP(C129,'Data sheet'!$B:$C,2,0),"")</f>
        <v/>
      </c>
      <c r="E129" s="12" t="str">
        <f>IFERROR(VLOOKUP(C129,'Data sheet'!$B:$F,5,0),"")</f>
        <v/>
      </c>
    </row>
    <row r="130" spans="1:5" x14ac:dyDescent="0.25">
      <c r="A130" s="30">
        <v>42172</v>
      </c>
      <c r="B130" s="12" t="s">
        <v>91</v>
      </c>
      <c r="C130" s="12" t="s">
        <v>135</v>
      </c>
      <c r="D130" s="12" t="str">
        <f>IFERROR(VLOOKUP(C130,'Data sheet'!$B:$C,2,0),"")</f>
        <v>Weekly</v>
      </c>
      <c r="E130" s="12" t="str">
        <f>IFERROR(VLOOKUP(C130,'Data sheet'!$B:$F,5,0),"")</f>
        <v>Usage report of all discretionary promos for both CRIS and ENS of Inwards &amp; Mig_Inwards customers with Channels, Agents, SAPIDs and Account Number information</v>
      </c>
    </row>
    <row r="131" spans="1:5" x14ac:dyDescent="0.25">
      <c r="A131" s="30">
        <v>42174</v>
      </c>
      <c r="B131" s="12" t="s">
        <v>91</v>
      </c>
      <c r="C131" s="12" t="s">
        <v>17</v>
      </c>
      <c r="D131" s="12" t="str">
        <f>IFERROR(VLOOKUP(C131,'Data sheet'!$B:$C,2,0),"")</f>
        <v>Weekly</v>
      </c>
      <c r="E131" s="12" t="str">
        <f>IFERROR(VLOOKUP(C131,'Data sheet'!$B:$F,5,0),"")</f>
        <v>Promo Reporting on LQ Side</v>
      </c>
    </row>
    <row r="132" spans="1:5" x14ac:dyDescent="0.25">
      <c r="A132" s="30">
        <v>42174</v>
      </c>
      <c r="B132" s="12" t="s">
        <v>91</v>
      </c>
      <c r="C132" s="12" t="s">
        <v>18</v>
      </c>
      <c r="D132" s="12" t="str">
        <f>IFERROR(VLOOKUP(C132,'Data sheet'!$B:$C,2,0),"")</f>
        <v>Weekly</v>
      </c>
      <c r="E132" s="12" t="str">
        <f>IFERROR(VLOOKUP(C132,'Data sheet'!$B:$F,5,0),"")</f>
        <v>Promo Reporting on LCTL Side</v>
      </c>
    </row>
    <row r="133" spans="1:5" x14ac:dyDescent="0.25">
      <c r="A133" s="30">
        <v>42179</v>
      </c>
      <c r="B133" s="12" t="s">
        <v>91</v>
      </c>
      <c r="C133" s="12" t="s">
        <v>135</v>
      </c>
      <c r="D133" s="12" t="str">
        <f>IFERROR(VLOOKUP(C133,'Data sheet'!$B:$C,2,0),"")</f>
        <v>Weekly</v>
      </c>
      <c r="E133" s="12" t="str">
        <f>IFERROR(VLOOKUP(C133,'Data sheet'!$B:$F,5,0),"")</f>
        <v>Usage report of all discretionary promos for both CRIS and ENS of Inwards &amp; Mig_Inwards customers with Channels, Agents, SAPIDs and Account Number information</v>
      </c>
    </row>
    <row r="134" spans="1:5" x14ac:dyDescent="0.25">
      <c r="A134" s="30">
        <v>42179</v>
      </c>
      <c r="B134" s="12" t="s">
        <v>91</v>
      </c>
      <c r="C134" s="12" t="s">
        <v>136</v>
      </c>
      <c r="D134" s="12" t="str">
        <f>IFERROR(VLOOKUP(C134,'Data sheet'!$B:$C,2,0),"")</f>
        <v/>
      </c>
      <c r="E134" s="12" t="str">
        <f>IFERROR(VLOOKUP(C134,'Data sheet'!$B:$F,5,0),"")</f>
        <v/>
      </c>
    </row>
    <row r="135" spans="1:5" x14ac:dyDescent="0.25">
      <c r="A135" s="30">
        <v>42179</v>
      </c>
      <c r="B135" s="12" t="s">
        <v>159</v>
      </c>
      <c r="C135" s="12" t="s">
        <v>16</v>
      </c>
      <c r="D135" s="12" t="str">
        <f>IFERROR(VLOOKUP(C135,'Data sheet'!$B:$C,2,0),"")</f>
        <v>Weekly</v>
      </c>
      <c r="E135" s="12" t="str">
        <f>IFERROR(VLOOKUP(C135,'Data sheet'!$B:$F,5,0),"")</f>
        <v>Weekly Churn Report of Bus Soln customer on LCTL Side</v>
      </c>
    </row>
    <row r="136" spans="1:5" x14ac:dyDescent="0.25">
      <c r="A136" s="30">
        <v>42179</v>
      </c>
      <c r="B136" t="s">
        <v>159</v>
      </c>
      <c r="C136" t="s">
        <v>15</v>
      </c>
      <c r="D136" s="12" t="str">
        <f>IFERROR(VLOOKUP(C136,'Data sheet'!$B:$C,2,0),"")</f>
        <v>Weekly</v>
      </c>
      <c r="E136" s="12" t="str">
        <f>IFERROR(VLOOKUP(C136,'Data sheet'!$B:$F,5,0),"")</f>
        <v>Weekly Churn Report of Bus Soln customer on LQ Side</v>
      </c>
    </row>
    <row r="137" spans="1:5" x14ac:dyDescent="0.25">
      <c r="A137" s="30">
        <v>42181</v>
      </c>
      <c r="B137" t="s">
        <v>91</v>
      </c>
      <c r="C137" t="s">
        <v>17</v>
      </c>
      <c r="D137" s="12" t="str">
        <f>IFERROR(VLOOKUP(C137,'Data sheet'!$B:$C,2,0),"")</f>
        <v>Weekly</v>
      </c>
      <c r="E137" s="12" t="str">
        <f>IFERROR(VLOOKUP(C137,'Data sheet'!$B:$F,5,0),"")</f>
        <v>Promo Reporting on LQ Side</v>
      </c>
    </row>
    <row r="138" spans="1:5" x14ac:dyDescent="0.25">
      <c r="A138" s="30">
        <v>42181</v>
      </c>
      <c r="B138" s="12" t="s">
        <v>91</v>
      </c>
      <c r="C138" s="12" t="s">
        <v>18</v>
      </c>
      <c r="D138" s="12" t="str">
        <f>IFERROR(VLOOKUP(C138,'Data sheet'!$B:$C,2,0),"")</f>
        <v>Weekly</v>
      </c>
      <c r="E138" s="12" t="str">
        <f>IFERROR(VLOOKUP(C138,'Data sheet'!$B:$F,5,0),"")</f>
        <v>Promo Reporting on LCTL Side</v>
      </c>
    </row>
    <row r="139" spans="1:5" x14ac:dyDescent="0.25">
      <c r="A139" s="30">
        <v>42186</v>
      </c>
      <c r="B139" s="12" t="s">
        <v>91</v>
      </c>
      <c r="C139" s="12" t="s">
        <v>135</v>
      </c>
      <c r="D139" s="12" t="str">
        <f>IFERROR(VLOOKUP(C139,'Data sheet'!$B:$C,2,0),"")</f>
        <v>Weekly</v>
      </c>
      <c r="E139" s="12" t="str">
        <f>IFERROR(VLOOKUP(C139,'Data sheet'!$B:$F,5,0),"")</f>
        <v>Usage report of all discretionary promos for both CRIS and ENS of Inwards &amp; Mig_Inwards customers with Channels, Agents, SAPIDs and Account Number information</v>
      </c>
    </row>
    <row r="140" spans="1:5" x14ac:dyDescent="0.25">
      <c r="A140" s="30">
        <v>42186</v>
      </c>
      <c r="B140" s="12" t="s">
        <v>91</v>
      </c>
      <c r="C140" s="12" t="s">
        <v>136</v>
      </c>
      <c r="D140" s="12" t="str">
        <f>IFERROR(VLOOKUP(C140,'Data sheet'!$B:$C,2,0),"")</f>
        <v/>
      </c>
      <c r="E140" s="12" t="str">
        <f>IFERROR(VLOOKUP(C140,'Data sheet'!$B:$F,5,0),"")</f>
        <v/>
      </c>
    </row>
    <row r="141" spans="1:5" x14ac:dyDescent="0.25">
      <c r="A141" s="30">
        <v>42191</v>
      </c>
      <c r="B141" s="12" t="s">
        <v>90</v>
      </c>
      <c r="C141" s="12" t="s">
        <v>176</v>
      </c>
      <c r="D141" s="12" t="s">
        <v>63</v>
      </c>
      <c r="E141" s="12" t="s">
        <v>177</v>
      </c>
    </row>
    <row r="142" spans="1:5" x14ac:dyDescent="0.25">
      <c r="A142" s="30">
        <v>42193</v>
      </c>
      <c r="B142" s="12" t="s">
        <v>159</v>
      </c>
      <c r="C142" s="12" t="s">
        <v>21</v>
      </c>
      <c r="D142" s="12" t="str">
        <f>IFERROR(VLOOKUP(C142,'Data sheet'!$B:$C,2,0),"")</f>
        <v>Monthly</v>
      </c>
      <c r="E142" s="12"/>
    </row>
    <row r="143" spans="1:5" x14ac:dyDescent="0.25">
      <c r="A143" s="30">
        <v>42193</v>
      </c>
      <c r="B143" s="12" t="s">
        <v>159</v>
      </c>
      <c r="C143" s="12" t="s">
        <v>27</v>
      </c>
      <c r="D143" s="12" t="str">
        <f>IFERROR(VLOOKUP(C143,'Data sheet'!$B:$C,2,0),"")</f>
        <v>Monthly</v>
      </c>
      <c r="E143" s="12"/>
    </row>
    <row r="144" spans="1:5" x14ac:dyDescent="0.25">
      <c r="A144" s="30">
        <v>42193</v>
      </c>
      <c r="B144" s="12" t="s">
        <v>91</v>
      </c>
      <c r="C144" s="12" t="s">
        <v>135</v>
      </c>
      <c r="D144" s="12" t="str">
        <f>IFERROR(VLOOKUP(C144,'Data sheet'!$B:$C,2,0),"")</f>
        <v>Weekly</v>
      </c>
      <c r="E144" s="12" t="str">
        <f>IFERROR(VLOOKUP(C144,'Data sheet'!$B:$F,5,0),"")</f>
        <v>Usage report of all discretionary promos for both CRIS and ENS of Inwards &amp; Mig_Inwards customers with Channels, Agents, SAPIDs and Account Number information</v>
      </c>
    </row>
    <row r="145" spans="1:31" x14ac:dyDescent="0.25">
      <c r="A145" s="30">
        <v>42193</v>
      </c>
      <c r="B145" s="12" t="s">
        <v>91</v>
      </c>
      <c r="C145" s="12" t="s">
        <v>136</v>
      </c>
      <c r="D145" s="12" t="str">
        <f>IFERROR(VLOOKUP(C145,'Data sheet'!$B:$C,2,0),"")</f>
        <v/>
      </c>
      <c r="E145" s="12" t="str">
        <f>IFERROR(VLOOKUP(C145,'Data sheet'!$B:$F,5,0),"")</f>
        <v/>
      </c>
    </row>
    <row r="146" spans="1:31" x14ac:dyDescent="0.25">
      <c r="A146" s="30">
        <v>42200</v>
      </c>
      <c r="B146" s="12" t="s">
        <v>91</v>
      </c>
      <c r="C146" s="12" t="s">
        <v>135</v>
      </c>
      <c r="D146" s="12" t="str">
        <f>IFERROR(VLOOKUP(C146,'Data sheet'!$B:$C,2,0),"")</f>
        <v>Weekly</v>
      </c>
      <c r="E146" s="12" t="str">
        <f>IFERROR(VLOOKUP(C146,'Data sheet'!$B:$F,5,0),"")</f>
        <v>Usage report of all discretionary promos for both CRIS and ENS of Inwards &amp; Mig_Inwards customers with Channels, Agents, SAPIDs and Account Number information</v>
      </c>
    </row>
    <row r="147" spans="1:31" x14ac:dyDescent="0.25">
      <c r="A147" s="30">
        <v>42200</v>
      </c>
      <c r="B147" s="12" t="s">
        <v>91</v>
      </c>
      <c r="C147" s="12" t="s">
        <v>136</v>
      </c>
      <c r="D147" s="12" t="str">
        <f>IFERROR(VLOOKUP(C147,'Data sheet'!$B:$C,2,0),"")</f>
        <v/>
      </c>
      <c r="E147" s="12" t="str">
        <f>IFERROR(VLOOKUP(C147,'Data sheet'!$B:$F,5,0),"")</f>
        <v/>
      </c>
    </row>
    <row r="148" spans="1:31" x14ac:dyDescent="0.25">
      <c r="A148" s="30">
        <v>42202</v>
      </c>
      <c r="B148" s="12" t="s">
        <v>90</v>
      </c>
      <c r="C148" s="12" t="s">
        <v>170</v>
      </c>
      <c r="D148" s="12" t="s">
        <v>149</v>
      </c>
      <c r="E148" s="55" t="s">
        <v>178</v>
      </c>
    </row>
    <row r="149" spans="1:31" x14ac:dyDescent="0.25">
      <c r="A149" s="30">
        <v>42205</v>
      </c>
      <c r="B149" s="12" t="s">
        <v>90</v>
      </c>
      <c r="C149" s="12" t="s">
        <v>179</v>
      </c>
      <c r="D149" s="12" t="s">
        <v>63</v>
      </c>
      <c r="E149" s="12" t="s">
        <v>177</v>
      </c>
    </row>
    <row r="150" spans="1:31" x14ac:dyDescent="0.25">
      <c r="A150" s="30">
        <v>42207</v>
      </c>
      <c r="B150" s="12" t="s">
        <v>91</v>
      </c>
      <c r="C150" s="12" t="s">
        <v>135</v>
      </c>
      <c r="D150" s="12" t="str">
        <f>IFERROR(VLOOKUP(C150,'Data sheet'!$B:$C,2,0),"")</f>
        <v>Weekly</v>
      </c>
      <c r="E150" s="12" t="str">
        <f>IFERROR(VLOOKUP(C150,'Data sheet'!$B:$F,5,0),"")</f>
        <v>Usage report of all discretionary promos for both CRIS and ENS of Inwards &amp; Mig_Inwards customers with Channels, Agents, SAPIDs and Account Number information</v>
      </c>
    </row>
    <row r="151" spans="1:31" x14ac:dyDescent="0.25">
      <c r="A151" s="30">
        <v>42207</v>
      </c>
      <c r="B151" s="12" t="s">
        <v>91</v>
      </c>
      <c r="C151" s="12" t="s">
        <v>136</v>
      </c>
      <c r="D151" s="12" t="str">
        <f>IFERROR(VLOOKUP(C151,'Data sheet'!$B:$C,2,0),"")</f>
        <v/>
      </c>
      <c r="E151" s="12" t="str">
        <f>IFERROR(VLOOKUP(C151,'Data sheet'!$B:$F,5,0),"")</f>
        <v/>
      </c>
    </row>
    <row r="152" spans="1:31" x14ac:dyDescent="0.25">
      <c r="A152" s="30">
        <v>42214</v>
      </c>
      <c r="B152" s="12" t="s">
        <v>91</v>
      </c>
      <c r="C152" s="12" t="s">
        <v>135</v>
      </c>
      <c r="D152" s="12" t="str">
        <f>IFERROR(VLOOKUP(C152,'Data sheet'!$B:$C,2,0),"")</f>
        <v>Weekly</v>
      </c>
      <c r="E152" s="12" t="str">
        <f>IFERROR(VLOOKUP(C152,'Data sheet'!$B:$F,5,0),"")</f>
        <v>Usage report of all discretionary promos for both CRIS and ENS of Inwards &amp; Mig_Inwards customers with Channels, Agents, SAPIDs and Account Number information</v>
      </c>
    </row>
    <row r="153" spans="1:31" x14ac:dyDescent="0.25">
      <c r="A153" s="30">
        <v>42214</v>
      </c>
      <c r="B153" s="12" t="s">
        <v>91</v>
      </c>
      <c r="C153" s="12" t="s">
        <v>136</v>
      </c>
      <c r="D153" s="12" t="str">
        <f>IFERROR(VLOOKUP(C153,'Data sheet'!$B:$C,2,0),"")</f>
        <v/>
      </c>
      <c r="E153" s="12" t="str">
        <f>IFERROR(VLOOKUP(C153,'Data sheet'!$B:$F,5,0),"")</f>
        <v/>
      </c>
    </row>
    <row r="154" spans="1:31" x14ac:dyDescent="0.25">
      <c r="A154" s="30">
        <v>42228</v>
      </c>
      <c r="B154" s="12" t="s">
        <v>159</v>
      </c>
      <c r="C154" s="12" t="s">
        <v>21</v>
      </c>
      <c r="D154" s="12" t="str">
        <f>IFERROR(VLOOKUP(C154,'Data sheet'!$B:$C,2,0),"")</f>
        <v>Monthly</v>
      </c>
      <c r="E154" s="12" t="str">
        <f>IFERROR(VLOOKUP(C154,'Data sheet'!$B:$F,5,0),"")</f>
        <v>To split LQ/LCTL HSI sales across product categories</v>
      </c>
    </row>
    <row r="155" spans="1:31" x14ac:dyDescent="0.25">
      <c r="A155" s="30">
        <v>42233</v>
      </c>
      <c r="B155" s="12" t="s">
        <v>90</v>
      </c>
      <c r="C155" s="12" t="s">
        <v>179</v>
      </c>
      <c r="D155" s="12" t="str">
        <f>IFERROR(VLOOKUP(C155,'Data sheet'!$B:$C,2,0),"")</f>
        <v>Weekly</v>
      </c>
      <c r="E155" s="12" t="str">
        <f>IFERROR(VLOOKUP(C155,'Data sheet'!$B:$F,5,0),"")</f>
        <v>To track SaveDesk Sales by Reps for PP1710</v>
      </c>
    </row>
    <row r="156" spans="1:31" x14ac:dyDescent="0.25">
      <c r="A156" s="30">
        <v>42234</v>
      </c>
      <c r="B156" s="12" t="s">
        <v>159</v>
      </c>
      <c r="C156" s="12" t="s">
        <v>36</v>
      </c>
      <c r="D156" s="12" t="str">
        <f>IFERROR(VLOOKUP(C156,'Data sheet'!$B:$C,2,0),"")</f>
        <v>Monthly</v>
      </c>
      <c r="E156" s="12">
        <f>IFERROR(VLOOKUP(C156,'Data sheet'!$B:$F,5,0),"")</f>
        <v>0</v>
      </c>
    </row>
    <row r="157" spans="1:31" x14ac:dyDescent="0.25">
      <c r="A157" s="30">
        <v>42242</v>
      </c>
      <c r="B157" s="12" t="s">
        <v>91</v>
      </c>
      <c r="C157" s="12" t="s">
        <v>135</v>
      </c>
      <c r="D157" s="12" t="str">
        <f>IFERROR(VLOOKUP(C157,'Data sheet'!$B:$C,2,0),"")</f>
        <v>Weekly</v>
      </c>
      <c r="E157" s="12" t="str">
        <f>IFERROR(VLOOKUP(C157,'Data sheet'!$B:$F,5,0),"")</f>
        <v>Usage report of all discretionary promos for both CRIS and ENS of Inwards &amp; Mig_Inwards customers with Channels, Agents, SAPIDs and Account Number information</v>
      </c>
    </row>
    <row r="158" spans="1:31" x14ac:dyDescent="0.25">
      <c r="A158" s="30">
        <v>42242</v>
      </c>
      <c r="B158" s="12" t="s">
        <v>91</v>
      </c>
      <c r="C158" s="12" t="s">
        <v>136</v>
      </c>
      <c r="D158" s="12" t="str">
        <f>IFERROR(VLOOKUP(C158,'Data sheet'!$B:$C,2,0),"")</f>
        <v/>
      </c>
      <c r="E158" s="12" t="str">
        <f>IFERROR(VLOOKUP(C158,'Data sheet'!$B:$F,5,0),"")</f>
        <v/>
      </c>
    </row>
    <row r="159" spans="1:31" x14ac:dyDescent="0.25">
      <c r="A159" s="30">
        <v>42247</v>
      </c>
      <c r="B159" s="23" t="s">
        <v>184</v>
      </c>
      <c r="C159" s="12" t="s">
        <v>179</v>
      </c>
      <c r="D159" s="12" t="s">
        <v>63</v>
      </c>
      <c r="E159" s="12" t="s">
        <v>177</v>
      </c>
    </row>
    <row r="160" spans="1:31" x14ac:dyDescent="0.25">
      <c r="A160" s="30">
        <v>42248</v>
      </c>
      <c r="B160" s="23" t="s">
        <v>184</v>
      </c>
      <c r="C160" s="12" t="s">
        <v>170</v>
      </c>
      <c r="D160" s="12" t="s">
        <v>149</v>
      </c>
      <c r="E160" s="55" t="s">
        <v>178</v>
      </c>
      <c r="F160" s="12"/>
      <c r="G160" s="12"/>
      <c r="H160" s="12"/>
      <c r="AA160" s="12"/>
      <c r="AB160" s="15" t="s">
        <v>46</v>
      </c>
      <c r="AC160" s="13" t="s">
        <v>64</v>
      </c>
      <c r="AD160" s="8"/>
      <c r="AE160" s="12"/>
    </row>
    <row r="161" spans="1:30" x14ac:dyDescent="0.25">
      <c r="A161" s="37">
        <v>42249</v>
      </c>
      <c r="B161" s="23" t="s">
        <v>184</v>
      </c>
      <c r="C161" s="23" t="s">
        <v>135</v>
      </c>
      <c r="D161" s="23" t="s">
        <v>63</v>
      </c>
      <c r="E161" s="12"/>
    </row>
    <row r="162" spans="1:30" s="12" customFormat="1" x14ac:dyDescent="0.25">
      <c r="A162" s="37">
        <v>42249</v>
      </c>
      <c r="B162" s="23" t="s">
        <v>184</v>
      </c>
      <c r="C162" s="12" t="s">
        <v>186</v>
      </c>
      <c r="D162" s="23" t="s">
        <v>63</v>
      </c>
      <c r="E162" s="12" t="str">
        <f>IFERROR(VLOOKUP(C162,'Data sheet'!$B:$F,5,0),"")</f>
        <v>To track sales compensation of Immerge and Clearlink SOHO for both HSI &amp; Voice</v>
      </c>
      <c r="F162" s="23"/>
      <c r="G162" s="23"/>
      <c r="H162" s="23"/>
      <c r="AB162" s="13" t="s">
        <v>21</v>
      </c>
      <c r="AC162" s="16" t="s">
        <v>64</v>
      </c>
      <c r="AD162" s="16" t="s">
        <v>75</v>
      </c>
    </row>
    <row r="163" spans="1:30" s="12" customFormat="1" x14ac:dyDescent="0.25">
      <c r="A163" s="37">
        <v>42249</v>
      </c>
      <c r="B163" s="23" t="s">
        <v>187</v>
      </c>
      <c r="C163" s="12" t="s">
        <v>155</v>
      </c>
      <c r="D163" s="23" t="str">
        <f>IFERROR(VLOOKUP(C163,'Data sheet'!$B:$C,2,0),"")</f>
        <v>Weekly</v>
      </c>
      <c r="E163" s="12" t="str">
        <f>IFERROR(VLOOKUP(C163,'Data sheet'!$B:$F,5,0),"")</f>
        <v>CRIS Side Core Connect information</v>
      </c>
      <c r="G163" s="23"/>
      <c r="H163" s="23"/>
      <c r="AB163" s="13" t="s">
        <v>22</v>
      </c>
      <c r="AC163" s="16" t="s">
        <v>64</v>
      </c>
      <c r="AD163" s="16" t="s">
        <v>76</v>
      </c>
    </row>
    <row r="164" spans="1:30" s="12" customFormat="1" x14ac:dyDescent="0.25">
      <c r="A164" s="30">
        <v>42252</v>
      </c>
      <c r="B164" s="12" t="s">
        <v>184</v>
      </c>
      <c r="C164" s="12" t="s">
        <v>179</v>
      </c>
      <c r="D164" s="12" t="str">
        <f>IFERROR(VLOOKUP(C164,'Data sheet'!$B:$C,2,0),"")</f>
        <v>Weekly</v>
      </c>
      <c r="E164" s="12" t="str">
        <f>IFERROR(VLOOKUP(C164,'Data sheet'!$B:$F,5,0),"")</f>
        <v>To track SaveDesk Sales by Reps for PP1710</v>
      </c>
      <c r="G164" s="23"/>
      <c r="H164" s="23"/>
      <c r="AB164" s="8"/>
      <c r="AC164" s="8"/>
      <c r="AD164" s="8"/>
    </row>
    <row r="165" spans="1:30" s="12" customFormat="1" x14ac:dyDescent="0.25">
      <c r="A165" s="30">
        <v>42254</v>
      </c>
      <c r="B165" s="12" t="s">
        <v>184</v>
      </c>
      <c r="C165" s="12" t="s">
        <v>179</v>
      </c>
      <c r="D165" s="12" t="str">
        <f>IFERROR(VLOOKUP(C165,'Data sheet'!$B:$C,2,0),"")</f>
        <v>Weekly</v>
      </c>
      <c r="E165" s="12" t="str">
        <f>IFERROR(VLOOKUP(C165,'Data sheet'!$B:$F,5,0),"")</f>
        <v>To track SaveDesk Sales by Reps for PP1710</v>
      </c>
    </row>
    <row r="166" spans="1:30" x14ac:dyDescent="0.25">
      <c r="A166" s="30">
        <v>42256</v>
      </c>
      <c r="B166" s="12" t="s">
        <v>159</v>
      </c>
      <c r="C166" s="12" t="s">
        <v>27</v>
      </c>
      <c r="D166" s="12" t="str">
        <f>IFERROR(VLOOKUP(C166,'Data sheet'!$B:$C,2,0),"")</f>
        <v>Monthly</v>
      </c>
      <c r="E166" s="12">
        <f>IFERROR(VLOOKUP(C166,'Data sheet'!$B:$F,5,0),"")</f>
        <v>0</v>
      </c>
    </row>
    <row r="167" spans="1:30" s="12" customFormat="1" x14ac:dyDescent="0.25">
      <c r="A167" s="30">
        <v>42256</v>
      </c>
      <c r="B167" s="12" t="s">
        <v>184</v>
      </c>
      <c r="C167" s="12" t="s">
        <v>135</v>
      </c>
      <c r="D167" s="12" t="str">
        <f>IFERROR(VLOOKUP(C167,'Data sheet'!$B:$C,2,0),"")</f>
        <v>Weekly</v>
      </c>
      <c r="E167" s="12" t="str">
        <f>IFERROR(VLOOKUP(C167,'Data sheet'!$B:$F,5,0),"")</f>
        <v>Usage report of all discretionary promos for both CRIS and ENS of Inwards &amp; Mig_Inwards customers with Channels, Agents, SAPIDs and Account Number information</v>
      </c>
    </row>
    <row r="168" spans="1:30" s="12" customFormat="1" x14ac:dyDescent="0.25">
      <c r="A168" s="30">
        <v>42256</v>
      </c>
      <c r="B168" s="23" t="s">
        <v>187</v>
      </c>
      <c r="C168" s="12" t="s">
        <v>155</v>
      </c>
      <c r="D168" s="12" t="str">
        <f>IFERROR(VLOOKUP(C168,'Data sheet'!$B:$C,2,0),"")</f>
        <v>Weekly</v>
      </c>
      <c r="E168" s="57" t="str">
        <f>IFERROR(VLOOKUP(C168,'Data sheet'!$B:$F,5,0),"")</f>
        <v>CRIS Side Core Connect information</v>
      </c>
    </row>
    <row r="169" spans="1:30" s="12" customFormat="1" x14ac:dyDescent="0.25">
      <c r="A169" s="30">
        <v>42256</v>
      </c>
      <c r="B169" s="12" t="s">
        <v>184</v>
      </c>
      <c r="C169" s="12" t="s">
        <v>186</v>
      </c>
      <c r="D169" s="12" t="s">
        <v>63</v>
      </c>
      <c r="E169" s="12" t="str">
        <f>IFERROR(VLOOKUP(C169,'Data sheet'!$B:$F,5,0),"")</f>
        <v>To track sales compensation of Immerge and Clearlink SOHO for both HSI &amp; Voice</v>
      </c>
    </row>
    <row r="170" spans="1:30" x14ac:dyDescent="0.25">
      <c r="A170" s="30">
        <v>42257</v>
      </c>
      <c r="B170" s="12" t="s">
        <v>184</v>
      </c>
      <c r="C170" s="12" t="s">
        <v>43</v>
      </c>
      <c r="D170" s="12" t="str">
        <f>IFERROR(VLOOKUP(C170,'Data sheet'!$B:$C,2,0),"")</f>
        <v>Monthly</v>
      </c>
      <c r="E170" s="57" t="str">
        <f>IFERROR(VLOOKUP(C170,'Data sheet'!$B:$F,5,0),"")</f>
        <v>13 months rolling dashboard on the leads data from SFDC</v>
      </c>
    </row>
    <row r="171" spans="1:30" x14ac:dyDescent="0.25">
      <c r="A171" s="30">
        <v>42258</v>
      </c>
      <c r="B171" s="12" t="s">
        <v>184</v>
      </c>
      <c r="C171" s="12" t="s">
        <v>170</v>
      </c>
      <c r="D171" s="12" t="s">
        <v>149</v>
      </c>
      <c r="E171" s="55" t="s">
        <v>178</v>
      </c>
    </row>
    <row r="172" spans="1:30" x14ac:dyDescent="0.25">
      <c r="A172" s="30">
        <v>42258</v>
      </c>
      <c r="B172" s="12" t="s">
        <v>159</v>
      </c>
      <c r="C172" s="12" t="s">
        <v>21</v>
      </c>
      <c r="D172" s="12" t="str">
        <f>IFERROR(VLOOKUP(C172,'Data sheet'!$B:$C,2,0),"")</f>
        <v>Monthly</v>
      </c>
      <c r="E172" s="12" t="str">
        <f>IFERROR(VLOOKUP(C172,'Data sheet'!$B:$F,5,0),"")</f>
        <v>To split LQ/LCTL HSI sales across product categories</v>
      </c>
    </row>
    <row r="173" spans="1:30" x14ac:dyDescent="0.25">
      <c r="A173" s="37">
        <v>42260</v>
      </c>
      <c r="B173" s="12" t="s">
        <v>187</v>
      </c>
      <c r="C173" t="s">
        <v>40</v>
      </c>
      <c r="D173" s="12" t="str">
        <f>IFERROR(VLOOKUP(C173,'Data sheet'!$B:$C,2,0),"")</f>
        <v>Monthly</v>
      </c>
      <c r="E173" s="12" t="str">
        <f>IFERROR(VLOOKUP(C173,'Data sheet'!$B:$F,5,0),"")</f>
        <v>Dashboard containing KPIs of all the products of SMB</v>
      </c>
    </row>
    <row r="174" spans="1:30" x14ac:dyDescent="0.25">
      <c r="A174" s="37">
        <v>42261</v>
      </c>
      <c r="B174" s="12" t="s">
        <v>187</v>
      </c>
      <c r="C174" s="12" t="s">
        <v>40</v>
      </c>
      <c r="D174" s="12" t="str">
        <f>IFERROR(VLOOKUP(C174,'Data sheet'!$B:$C,2,0),"")</f>
        <v>Monthly</v>
      </c>
      <c r="E174" s="12" t="str">
        <f>IFERROR(VLOOKUP(C174,'Data sheet'!$B:$F,5,0),"")</f>
        <v>Dashboard containing KPIs of all the products of SMB</v>
      </c>
    </row>
    <row r="175" spans="1:30" x14ac:dyDescent="0.25">
      <c r="A175" s="30">
        <v>42261</v>
      </c>
      <c r="B175" s="12" t="s">
        <v>184</v>
      </c>
      <c r="C175" s="12" t="s">
        <v>179</v>
      </c>
      <c r="D175" s="12" t="str">
        <f>IFERROR(VLOOKUP(C175,'Data sheet'!$B:$C,2,0),"")</f>
        <v>Weekly</v>
      </c>
      <c r="E175" s="12" t="str">
        <f>IFERROR(VLOOKUP(C175,'Data sheet'!$B:$F,5,0),"")</f>
        <v>To track SaveDesk Sales by Reps for PP1710</v>
      </c>
    </row>
    <row r="176" spans="1:30" x14ac:dyDescent="0.25">
      <c r="A176" s="30">
        <v>42263</v>
      </c>
      <c r="B176" s="12" t="s">
        <v>184</v>
      </c>
      <c r="C176" s="12" t="s">
        <v>136</v>
      </c>
      <c r="D176" s="12" t="s">
        <v>63</v>
      </c>
      <c r="E176" s="12" t="str">
        <f>IFERROR(VLOOKUP(C176,'Data sheet'!$B:$F,5,0),"")</f>
        <v/>
      </c>
    </row>
    <row r="177" spans="1:5" x14ac:dyDescent="0.25">
      <c r="A177" s="30">
        <v>42263</v>
      </c>
      <c r="B177" s="12" t="s">
        <v>184</v>
      </c>
      <c r="C177" s="12" t="s">
        <v>135</v>
      </c>
      <c r="D177" s="12" t="str">
        <f>IFERROR(VLOOKUP(C177,'Data sheet'!$B:$C,2,0),"")</f>
        <v>Weekly</v>
      </c>
      <c r="E177" s="12" t="str">
        <f>IFERROR(VLOOKUP(C177,'Data sheet'!$B:$F,5,0),"")</f>
        <v>Usage report of all discretionary promos for both CRIS and ENS of Inwards &amp; Mig_Inwards customers with Channels, Agents, SAPIDs and Account Number information</v>
      </c>
    </row>
    <row r="178" spans="1:5" x14ac:dyDescent="0.25">
      <c r="A178" s="30">
        <v>42263</v>
      </c>
      <c r="B178" s="12" t="s">
        <v>187</v>
      </c>
      <c r="C178" s="12" t="s">
        <v>155</v>
      </c>
      <c r="D178" s="12" t="str">
        <f>IFERROR(VLOOKUP(C178,'Data sheet'!$B:$C,2,0),"")</f>
        <v>Weekly</v>
      </c>
      <c r="E178" s="59" t="str">
        <f>IFERROR(VLOOKUP(C178,'Data sheet'!$B:$F,5,0),"")</f>
        <v>CRIS Side Core Connect information</v>
      </c>
    </row>
    <row r="179" spans="1:5" x14ac:dyDescent="0.25">
      <c r="A179" s="30">
        <v>42268</v>
      </c>
      <c r="B179" s="12" t="s">
        <v>184</v>
      </c>
      <c r="C179" s="12" t="s">
        <v>179</v>
      </c>
      <c r="D179" s="12" t="str">
        <f>IFERROR(VLOOKUP(C179,'Data sheet'!$B:$C,2,0),"")</f>
        <v>Weekly</v>
      </c>
      <c r="E179" s="12" t="str">
        <f>IFERROR(VLOOKUP(C179,'Data sheet'!$B:$F,5,0),"")</f>
        <v>To track SaveDesk Sales by Reps for PP1710</v>
      </c>
    </row>
    <row r="180" spans="1:5" x14ac:dyDescent="0.25">
      <c r="A180" s="30">
        <v>42270</v>
      </c>
      <c r="B180" s="12" t="s">
        <v>184</v>
      </c>
      <c r="C180" t="s">
        <v>186</v>
      </c>
      <c r="D180" s="12" t="s">
        <v>63</v>
      </c>
      <c r="E180" s="12" t="str">
        <f>IFERROR(VLOOKUP(C180,'Data sheet'!$B:$F,5,0),"")</f>
        <v>To track sales compensation of Immerge and Clearlink SOHO for both HSI &amp; Voice</v>
      </c>
    </row>
    <row r="181" spans="1:5" x14ac:dyDescent="0.25">
      <c r="A181" s="30">
        <v>42270</v>
      </c>
      <c r="B181" s="12" t="s">
        <v>184</v>
      </c>
      <c r="C181" t="s">
        <v>135</v>
      </c>
      <c r="D181" s="12" t="str">
        <f>IFERROR(VLOOKUP(C181,'Data sheet'!$B:$C,2,0),"")</f>
        <v>Weekly</v>
      </c>
      <c r="E181" s="12" t="str">
        <f>IFERROR(VLOOKUP(C181,'Data sheet'!$B:$F,5,0),"")</f>
        <v>Usage report of all discretionary promos for both CRIS and ENS of Inwards &amp; Mig_Inwards customers with Channels, Agents, SAPIDs and Account Number information</v>
      </c>
    </row>
    <row r="182" spans="1:5" x14ac:dyDescent="0.25">
      <c r="A182" s="30">
        <v>42270</v>
      </c>
      <c r="B182" s="12" t="s">
        <v>187</v>
      </c>
      <c r="C182" s="12" t="s">
        <v>155</v>
      </c>
      <c r="D182" s="12" t="str">
        <f>IFERROR(VLOOKUP(C182,'Data sheet'!$B:$C,2,0),"")</f>
        <v>Weekly</v>
      </c>
      <c r="E182" s="59" t="str">
        <f>IFERROR(VLOOKUP(C182,'Data sheet'!$B:$F,5,0),"")</f>
        <v>CRIS Side Core Connect information</v>
      </c>
    </row>
    <row r="183" spans="1:5" x14ac:dyDescent="0.25">
      <c r="A183" s="30">
        <v>42275</v>
      </c>
      <c r="B183" s="12" t="s">
        <v>184</v>
      </c>
      <c r="C183" s="12" t="s">
        <v>170</v>
      </c>
      <c r="D183" s="12" t="s">
        <v>149</v>
      </c>
      <c r="E183" s="55"/>
    </row>
    <row r="184" spans="1:5" x14ac:dyDescent="0.25">
      <c r="A184" s="30">
        <v>42275</v>
      </c>
      <c r="B184" s="12" t="s">
        <v>184</v>
      </c>
      <c r="C184" s="12" t="s">
        <v>179</v>
      </c>
      <c r="D184" s="12" t="str">
        <f>IFERROR(VLOOKUP(C184,'Data sheet'!$B:$C,2,0),"")</f>
        <v>Weekly</v>
      </c>
      <c r="E184" s="12" t="str">
        <f>IFERROR(VLOOKUP(C184,'Data sheet'!$B:$F,5,0),"")</f>
        <v>To track SaveDesk Sales by Reps for PP1710</v>
      </c>
    </row>
    <row r="185" spans="1:5" x14ac:dyDescent="0.25">
      <c r="A185" s="30">
        <v>42277</v>
      </c>
      <c r="B185" s="12" t="s">
        <v>184</v>
      </c>
      <c r="C185" s="12" t="s">
        <v>186</v>
      </c>
      <c r="D185" s="12" t="s">
        <v>63</v>
      </c>
      <c r="E185" s="12" t="str">
        <f>IFERROR(VLOOKUP(C185,'Data sheet'!$B:$F,5,0),"")</f>
        <v>To track sales compensation of Immerge and Clearlink SOHO for both HSI &amp; Voice</v>
      </c>
    </row>
    <row r="186" spans="1:5" x14ac:dyDescent="0.25">
      <c r="A186" s="30">
        <v>42277</v>
      </c>
      <c r="B186" s="12" t="s">
        <v>184</v>
      </c>
      <c r="C186" s="12" t="s">
        <v>135</v>
      </c>
      <c r="D186" s="12" t="str">
        <f>IFERROR(VLOOKUP(C186,'Data sheet'!$B:$C,2,0),"")</f>
        <v>Weekly</v>
      </c>
      <c r="E186" s="12" t="str">
        <f>IFERROR(VLOOKUP(C186,'Data sheet'!$B:$F,5,0),"")</f>
        <v>Usage report of all discretionary promos for both CRIS and ENS of Inwards &amp; Mig_Inwards customers with Channels, Agents, SAPIDs and Account Number information</v>
      </c>
    </row>
    <row r="187" spans="1:5" x14ac:dyDescent="0.25">
      <c r="A187" s="30">
        <v>42277</v>
      </c>
      <c r="B187" s="12" t="s">
        <v>187</v>
      </c>
      <c r="C187" s="12" t="s">
        <v>155</v>
      </c>
      <c r="D187" s="12" t="str">
        <f>IFERROR(VLOOKUP(C187,'Data sheet'!$B:$C,2,0),"")</f>
        <v>Weekly</v>
      </c>
      <c r="E187" s="59" t="str">
        <f>IFERROR(VLOOKUP(C187,'Data sheet'!$B:$F,5,0),"")</f>
        <v>CRIS Side Core Connect information</v>
      </c>
    </row>
    <row r="188" spans="1:5" x14ac:dyDescent="0.25">
      <c r="A188" s="30">
        <v>42284</v>
      </c>
      <c r="B188" s="12" t="s">
        <v>159</v>
      </c>
      <c r="C188" s="12" t="s">
        <v>27</v>
      </c>
      <c r="D188" s="12" t="str">
        <f>IFERROR(VLOOKUP(C188,'Data sheet'!$B:$C,2,0),"")</f>
        <v>Monthly</v>
      </c>
      <c r="E188" s="12">
        <f>IFERROR(VLOOKUP(C188,'Data sheet'!$B:$F,5,0),"")</f>
        <v>0</v>
      </c>
    </row>
    <row r="189" spans="1:5" x14ac:dyDescent="0.25">
      <c r="A189" s="30">
        <v>42284</v>
      </c>
      <c r="B189" s="12" t="s">
        <v>159</v>
      </c>
      <c r="C189" s="12" t="s">
        <v>21</v>
      </c>
      <c r="D189" s="12" t="str">
        <f>IFERROR(VLOOKUP(C189,'Data sheet'!$B:$C,2,0),"")</f>
        <v>Monthly</v>
      </c>
      <c r="E189" s="12" t="str">
        <f>IFERROR(VLOOKUP(C189,'Data sheet'!$B:$F,5,0),"")</f>
        <v>To split LQ/LCTL HSI sales across product categories</v>
      </c>
    </row>
    <row r="190" spans="1:5" x14ac:dyDescent="0.25">
      <c r="A190" s="30">
        <v>42284</v>
      </c>
      <c r="B190" s="12" t="s">
        <v>184</v>
      </c>
      <c r="C190" s="12" t="s">
        <v>135</v>
      </c>
      <c r="D190" s="12" t="s">
        <v>63</v>
      </c>
      <c r="E190" s="12" t="str">
        <f>IFERROR(VLOOKUP(C190,'Data sheet'!$B:$F,5,0),"")</f>
        <v>Usage report of all discretionary promos for both CRIS and ENS of Inwards &amp; Mig_Inwards customers with Channels, Agents, SAPIDs and Account Number information</v>
      </c>
    </row>
    <row r="191" spans="1:5" x14ac:dyDescent="0.25">
      <c r="A191" s="30">
        <v>42284</v>
      </c>
      <c r="B191" s="12" t="s">
        <v>184</v>
      </c>
      <c r="C191" s="12" t="s">
        <v>186</v>
      </c>
      <c r="D191" s="12" t="s">
        <v>63</v>
      </c>
      <c r="E191" s="12" t="str">
        <f>IFERROR(VLOOKUP(C191,'Data sheet'!$B:$F,5,0),"")</f>
        <v>To track sales compensation of Immerge and Clearlink SOHO for both HSI &amp; Voice</v>
      </c>
    </row>
    <row r="192" spans="1:5" x14ac:dyDescent="0.25">
      <c r="A192" s="30">
        <v>42284</v>
      </c>
      <c r="B192" s="12" t="s">
        <v>187</v>
      </c>
      <c r="C192" s="12" t="s">
        <v>155</v>
      </c>
      <c r="D192" s="12" t="str">
        <f>IFERROR(VLOOKUP(C192,'Data sheet'!$B:$C,2,0),"")</f>
        <v>Weekly</v>
      </c>
      <c r="E192" s="59" t="str">
        <f>IFERROR(VLOOKUP(C192,'Data sheet'!$B:$F,5,0),"")</f>
        <v>CRIS Side Core Connect information</v>
      </c>
    </row>
    <row r="193" spans="1:5" x14ac:dyDescent="0.25">
      <c r="A193" s="30">
        <v>42289</v>
      </c>
      <c r="B193" s="12" t="s">
        <v>184</v>
      </c>
      <c r="C193" s="12" t="s">
        <v>170</v>
      </c>
      <c r="D193" s="12" t="s">
        <v>149</v>
      </c>
      <c r="E193" s="12">
        <f>IFERROR(VLOOKUP(C193,'Data sheet'!$B:$F,5,0),"")</f>
        <v>0</v>
      </c>
    </row>
    <row r="194" spans="1:5" x14ac:dyDescent="0.25">
      <c r="A194" s="30">
        <v>42291</v>
      </c>
      <c r="B194" s="12" t="s">
        <v>184</v>
      </c>
      <c r="C194" s="12" t="s">
        <v>186</v>
      </c>
      <c r="D194" s="12" t="s">
        <v>63</v>
      </c>
      <c r="E194" s="12" t="str">
        <f>IFERROR(VLOOKUP(C194,'Data sheet'!$B:$F,5,0),"")</f>
        <v>To track sales compensation of Immerge and Clearlink SOHO for both HSI &amp; Voice</v>
      </c>
    </row>
    <row r="195" spans="1:5" s="12" customFormat="1" x14ac:dyDescent="0.25">
      <c r="A195" s="30">
        <v>42291</v>
      </c>
      <c r="B195" s="12" t="s">
        <v>184</v>
      </c>
      <c r="C195" s="12" t="s">
        <v>135</v>
      </c>
      <c r="D195" s="12" t="str">
        <f>IFERROR(VLOOKUP(C195,'Data sheet'!$B:$C,2,0),"")</f>
        <v>Weekly</v>
      </c>
      <c r="E195" s="12" t="str">
        <f>IFERROR(VLOOKUP(C195,'Data sheet'!$B:$F,5,0),"")</f>
        <v>Usage report of all discretionary promos for both CRIS and ENS of Inwards &amp; Mig_Inwards customers with Channels, Agents, SAPIDs and Account Number information</v>
      </c>
    </row>
    <row r="196" spans="1:5" s="12" customFormat="1" x14ac:dyDescent="0.25">
      <c r="A196" s="30">
        <v>42291</v>
      </c>
      <c r="B196" s="12" t="s">
        <v>187</v>
      </c>
      <c r="C196" s="12" t="s">
        <v>155</v>
      </c>
      <c r="D196" s="12" t="str">
        <f>IFERROR(VLOOKUP(C196,'Data sheet'!$B:$C,2,0),"")</f>
        <v>Weekly</v>
      </c>
      <c r="E196" s="59" t="str">
        <f>IFERROR(VLOOKUP(C196,'Data sheet'!$B:$F,5,0),"")</f>
        <v>CRIS Side Core Connect information</v>
      </c>
    </row>
    <row r="197" spans="1:5" s="12" customFormat="1" x14ac:dyDescent="0.25">
      <c r="A197" s="30">
        <v>42297</v>
      </c>
      <c r="B197" s="12" t="s">
        <v>184</v>
      </c>
      <c r="C197" s="23" t="s">
        <v>192</v>
      </c>
      <c r="D197" s="12" t="str">
        <f>IFERROR(VLOOKUP(C197,'Data sheet'!$B:$C,2,0),"")</f>
        <v>Weekly</v>
      </c>
      <c r="E197" s="12" t="str">
        <f>IFERROR(VLOOKUP(C197,'Data sheet'!$B:$F,5,0),"")</f>
        <v>To track weekly sales of 'Fiber' HSI and bucketize by Speeds for compensation.</v>
      </c>
    </row>
    <row r="198" spans="1:5" s="12" customFormat="1" x14ac:dyDescent="0.25">
      <c r="A198" s="30">
        <v>42298</v>
      </c>
      <c r="B198" s="12" t="s">
        <v>187</v>
      </c>
      <c r="C198" s="12" t="s">
        <v>155</v>
      </c>
      <c r="D198" s="12" t="str">
        <f>IFERROR(VLOOKUP(C198,'Data sheet'!$B:$C,2,0),"")</f>
        <v>Weekly</v>
      </c>
      <c r="E198" s="59" t="str">
        <f>IFERROR(VLOOKUP(C198,'Data sheet'!$B:$F,5,0),"")</f>
        <v>CRIS Side Core Connect information</v>
      </c>
    </row>
    <row r="199" spans="1:5" x14ac:dyDescent="0.25">
      <c r="A199" s="30">
        <v>42298</v>
      </c>
      <c r="B199" s="12" t="s">
        <v>184</v>
      </c>
      <c r="C199" s="12" t="s">
        <v>135</v>
      </c>
      <c r="D199" s="12" t="str">
        <f>IFERROR(VLOOKUP(C199,'Data sheet'!$B:$C,2,0),"")</f>
        <v>Weekly</v>
      </c>
      <c r="E199" s="12" t="str">
        <f>IFERROR(VLOOKUP(C199,'Data sheet'!$B:$F,5,0),"")</f>
        <v>Usage report of all discretionary promos for both CRIS and ENS of Inwards &amp; Mig_Inwards customers with Channels, Agents, SAPIDs and Account Number information</v>
      </c>
    </row>
    <row r="200" spans="1:5" x14ac:dyDescent="0.25">
      <c r="A200" s="30">
        <v>42298</v>
      </c>
      <c r="B200" s="12" t="s">
        <v>184</v>
      </c>
      <c r="C200" s="12" t="s">
        <v>186</v>
      </c>
      <c r="D200" s="12" t="s">
        <v>63</v>
      </c>
      <c r="E200" s="12" t="str">
        <f>IFERROR(VLOOKUP(C200,'Data sheet'!$B:$F,5,0),"")</f>
        <v>To track sales compensation of Immerge and Clearlink SOHO for both HSI &amp; Voice</v>
      </c>
    </row>
    <row r="201" spans="1:5" x14ac:dyDescent="0.25">
      <c r="A201" s="30">
        <v>42305</v>
      </c>
      <c r="B201" s="12" t="s">
        <v>184</v>
      </c>
      <c r="C201" s="12" t="s">
        <v>135</v>
      </c>
      <c r="D201" s="12" t="str">
        <f>IFERROR(VLOOKUP(C201,'Data sheet'!$B:$C,2,0),"")</f>
        <v>Weekly</v>
      </c>
      <c r="E201" s="12" t="str">
        <f>IFERROR(VLOOKUP(C201,'Data sheet'!$B:$F,5,0),"")</f>
        <v>Usage report of all discretionary promos for both CRIS and ENS of Inwards &amp; Mig_Inwards customers with Channels, Agents, SAPIDs and Account Number information</v>
      </c>
    </row>
    <row r="202" spans="1:5" x14ac:dyDescent="0.25">
      <c r="A202" s="30">
        <v>42305</v>
      </c>
      <c r="B202" s="12" t="s">
        <v>184</v>
      </c>
      <c r="C202" s="12" t="s">
        <v>186</v>
      </c>
      <c r="D202" s="12" t="s">
        <v>63</v>
      </c>
      <c r="E202" s="12" t="str">
        <f>IFERROR(VLOOKUP(C202,'Data sheet'!$B:$F,5,0),"")</f>
        <v>To track sales compensation of Immerge and Clearlink SOHO for both HSI &amp; Voice</v>
      </c>
    </row>
    <row r="203" spans="1:5" x14ac:dyDescent="0.25">
      <c r="A203" s="30">
        <v>42306</v>
      </c>
      <c r="B203" s="12" t="s">
        <v>184</v>
      </c>
      <c r="C203" s="12" t="s">
        <v>170</v>
      </c>
      <c r="D203" s="12" t="s">
        <v>149</v>
      </c>
      <c r="E203" s="12">
        <f>IFERROR(VLOOKUP(C203,'Data sheet'!$B:$F,5,0),"")</f>
        <v>0</v>
      </c>
    </row>
    <row r="204" spans="1:5" x14ac:dyDescent="0.25">
      <c r="A204" s="30">
        <v>42311</v>
      </c>
      <c r="B204" s="12" t="s">
        <v>184</v>
      </c>
      <c r="C204" s="12" t="s">
        <v>192</v>
      </c>
      <c r="D204" s="12" t="str">
        <f>IFERROR(VLOOKUP(C204,'Data sheet'!$B:$C,2,0),"")</f>
        <v>Weekly</v>
      </c>
      <c r="E204" s="12" t="str">
        <f>IFERROR(VLOOKUP(C204,'Data sheet'!$B:$F,5,0),"")</f>
        <v>To track weekly sales of 'Fiber' HSI and bucketize by Speeds for compensation.</v>
      </c>
    </row>
    <row r="205" spans="1:5" x14ac:dyDescent="0.25">
      <c r="A205" s="30">
        <v>42312</v>
      </c>
      <c r="B205" s="12" t="s">
        <v>184</v>
      </c>
      <c r="C205" s="12" t="s">
        <v>186</v>
      </c>
      <c r="D205" s="12" t="s">
        <v>63</v>
      </c>
      <c r="E205" s="12" t="str">
        <f>IFERROR(VLOOKUP(C205,'Data sheet'!$B:$F,5,0),"")</f>
        <v>To track sales compensation of Immerge and Clearlink SOHO for both HSI &amp; Voice</v>
      </c>
    </row>
    <row r="206" spans="1:5" x14ac:dyDescent="0.25">
      <c r="A206" s="30">
        <v>42312</v>
      </c>
      <c r="B206" s="12" t="s">
        <v>184</v>
      </c>
      <c r="C206" s="12" t="s">
        <v>135</v>
      </c>
      <c r="D206" s="12" t="str">
        <f>IFERROR(VLOOKUP(C206,'Data sheet'!$B:$C,2,0),"")</f>
        <v>Weekly</v>
      </c>
      <c r="E206" s="12" t="str">
        <f>IFERROR(VLOOKUP(C206,'Data sheet'!$B:$F,5,0),"")</f>
        <v>Usage report of all discretionary promos for both CRIS and ENS of Inwards &amp; Mig_Inwards customers with Channels, Agents, SAPIDs and Account Number information</v>
      </c>
    </row>
    <row r="207" spans="1:5" x14ac:dyDescent="0.25">
      <c r="A207" s="30">
        <v>42318</v>
      </c>
      <c r="B207" s="12" t="s">
        <v>184</v>
      </c>
      <c r="C207" s="12" t="s">
        <v>192</v>
      </c>
      <c r="D207" s="12" t="str">
        <f>IFERROR(VLOOKUP(C207,'Data sheet'!$B:$C,2,0),"")</f>
        <v>Weekly</v>
      </c>
      <c r="E207" s="12" t="str">
        <f>IFERROR(VLOOKUP(C207,'Data sheet'!$B:$F,5,0),"")</f>
        <v>To track weekly sales of 'Fiber' HSI and bucketize by Speeds for compensation.</v>
      </c>
    </row>
    <row r="208" spans="1:5" s="12" customFormat="1" x14ac:dyDescent="0.25">
      <c r="A208" s="30">
        <v>42325</v>
      </c>
      <c r="B208" s="12" t="s">
        <v>184</v>
      </c>
      <c r="C208" s="12" t="s">
        <v>192</v>
      </c>
      <c r="D208" s="12" t="str">
        <f>IFERROR(VLOOKUP(C208,'Data sheet'!$B:$C,2,0),"")</f>
        <v>Weekly</v>
      </c>
      <c r="E208" s="12" t="str">
        <f>IFERROR(VLOOKUP(C208,'Data sheet'!$B:$F,5,0),"")</f>
        <v>To track weekly sales of 'Fiber' HSI and bucketize by Speeds for compensation.</v>
      </c>
    </row>
    <row r="209" spans="1:5" x14ac:dyDescent="0.25">
      <c r="A209" s="30">
        <v>42332</v>
      </c>
      <c r="B209" s="12" t="s">
        <v>184</v>
      </c>
      <c r="C209" s="12" t="s">
        <v>192</v>
      </c>
      <c r="D209" s="12" t="str">
        <f>IFERROR(VLOOKUP(C209,'Data sheet'!$B:$C,2,0),"")</f>
        <v>Weekly</v>
      </c>
      <c r="E209" s="12" t="str">
        <f>IFERROR(VLOOKUP(C209,'Data sheet'!$B:$F,5,0),"")</f>
        <v>To track weekly sales of 'Fiber' HSI and bucketize by Speeds for compensation.</v>
      </c>
    </row>
    <row r="210" spans="1:5" s="12" customFormat="1" x14ac:dyDescent="0.25">
      <c r="A210" s="30">
        <v>42339</v>
      </c>
      <c r="B210" s="12" t="s">
        <v>184</v>
      </c>
      <c r="C210" s="12" t="s">
        <v>192</v>
      </c>
      <c r="D210" s="12" t="str">
        <f>IFERROR(VLOOKUP(C210,'Data sheet'!$B:$C,2,0),"")</f>
        <v>Weekly</v>
      </c>
      <c r="E210" s="12" t="str">
        <f>IFERROR(VLOOKUP(C210,'Data sheet'!$B:$F,5,0),"")</f>
        <v>To track weekly sales of 'Fiber' HSI and bucketize by Speeds for compensation.</v>
      </c>
    </row>
    <row r="211" spans="1:5" s="12" customFormat="1" x14ac:dyDescent="0.25">
      <c r="A211" s="30">
        <v>42346</v>
      </c>
      <c r="B211" s="12" t="s">
        <v>184</v>
      </c>
      <c r="C211" s="12" t="s">
        <v>192</v>
      </c>
      <c r="D211" s="12" t="str">
        <f>IFERROR(VLOOKUP(C211,'Data sheet'!$B:$C,2,0),"")</f>
        <v>Weekly</v>
      </c>
      <c r="E211" s="12" t="str">
        <f>IFERROR(VLOOKUP(C211,'Data sheet'!$B:$F,5,0),"")</f>
        <v>To track weekly sales of 'Fiber' HSI and bucketize by Speeds for compensation.</v>
      </c>
    </row>
    <row r="212" spans="1:5" x14ac:dyDescent="0.25">
      <c r="A212" s="30">
        <v>42346</v>
      </c>
      <c r="B212" s="12" t="s">
        <v>184</v>
      </c>
      <c r="C212" s="12" t="s">
        <v>43</v>
      </c>
      <c r="D212" s="12" t="str">
        <f>IFERROR(VLOOKUP(C212,'Data sheet'!$B:$C,2,0),"")</f>
        <v>Monthly</v>
      </c>
      <c r="E212" s="12" t="str">
        <f>IFERROR(VLOOKUP(C212,'Data sheet'!$B:$F,5,0),"")</f>
        <v>13 months rolling dashboard on the leads data from SFDC</v>
      </c>
    </row>
    <row r="213" spans="1:5" x14ac:dyDescent="0.25">
      <c r="D213" s="12" t="str">
        <f>IFERROR(VLOOKUP(C213,'Data sheet'!$B:$C,2,0),"")</f>
        <v/>
      </c>
      <c r="E213" s="12" t="str">
        <f>IFERROR(VLOOKUP(C213,'Data sheet'!$B:$F,5,0),"")</f>
        <v/>
      </c>
    </row>
    <row r="214" spans="1:5" x14ac:dyDescent="0.25">
      <c r="D214" s="12" t="str">
        <f>IFERROR(VLOOKUP(C214,'Data sheet'!$B:$C,2,0),"")</f>
        <v/>
      </c>
      <c r="E214" s="12" t="str">
        <f>IFERROR(VLOOKUP(C214,'Data sheet'!$B:$F,5,0),"")</f>
        <v/>
      </c>
    </row>
    <row r="215" spans="1:5" x14ac:dyDescent="0.25">
      <c r="D215" s="12" t="str">
        <f>IFERROR(VLOOKUP(C215,'Data sheet'!$B:$C,2,0),"")</f>
        <v/>
      </c>
      <c r="E215" s="12" t="str">
        <f>IFERROR(VLOOKUP(C215,'Data sheet'!$B:$F,5,0),"")</f>
        <v/>
      </c>
    </row>
    <row r="216" spans="1:5" x14ac:dyDescent="0.25">
      <c r="D216" s="12" t="str">
        <f>IFERROR(VLOOKUP(C216,'Data sheet'!$B:$C,2,0),"")</f>
        <v/>
      </c>
      <c r="E216" s="12" t="str">
        <f>IFERROR(VLOOKUP(C216,'Data sheet'!$B:$F,5,0),"")</f>
        <v/>
      </c>
    </row>
    <row r="217" spans="1:5" x14ac:dyDescent="0.25">
      <c r="D217" s="12" t="str">
        <f>IFERROR(VLOOKUP(C217,'Data sheet'!$B:$C,2,0),"")</f>
        <v/>
      </c>
      <c r="E217" s="12" t="str">
        <f>IFERROR(VLOOKUP(C217,'Data sheet'!$B:$F,5,0),"")</f>
        <v/>
      </c>
    </row>
    <row r="218" spans="1:5" x14ac:dyDescent="0.25">
      <c r="D218" s="12" t="str">
        <f>IFERROR(VLOOKUP(C218,'Data sheet'!$B:$C,2,0),"")</f>
        <v/>
      </c>
      <c r="E218" s="12" t="str">
        <f>IFERROR(VLOOKUP(C218,'Data sheet'!$B:$F,5,0),"")</f>
        <v/>
      </c>
    </row>
    <row r="219" spans="1:5" x14ac:dyDescent="0.25">
      <c r="D219" s="12" t="str">
        <f>IFERROR(VLOOKUP(C219,'Data sheet'!$B:$C,2,0),"")</f>
        <v/>
      </c>
      <c r="E219" s="12" t="str">
        <f>IFERROR(VLOOKUP(C219,'Data sheet'!$B:$F,5,0),"")</f>
        <v/>
      </c>
    </row>
    <row r="220" spans="1:5" x14ac:dyDescent="0.25">
      <c r="D220" s="12" t="str">
        <f>IFERROR(VLOOKUP(C220,'Data sheet'!$B:$C,2,0),"")</f>
        <v/>
      </c>
      <c r="E220" s="12" t="str">
        <f>IFERROR(VLOOKUP(C220,'Data sheet'!$B:$F,5,0),"")</f>
        <v/>
      </c>
    </row>
    <row r="221" spans="1:5" x14ac:dyDescent="0.25">
      <c r="D221" s="12" t="str">
        <f>IFERROR(VLOOKUP(C221,'Data sheet'!$B:$C,2,0),"")</f>
        <v/>
      </c>
      <c r="E221" s="12" t="str">
        <f>IFERROR(VLOOKUP(C221,'Data sheet'!$B:$F,5,0),"")</f>
        <v/>
      </c>
    </row>
    <row r="222" spans="1:5" x14ac:dyDescent="0.25">
      <c r="D222" s="12" t="str">
        <f>IFERROR(VLOOKUP(C222,'Data sheet'!$B:$C,2,0),"")</f>
        <v/>
      </c>
      <c r="E222" s="12" t="str">
        <f>IFERROR(VLOOKUP(C222,'Data sheet'!$B:$F,5,0),"")</f>
        <v/>
      </c>
    </row>
    <row r="223" spans="1:5" x14ac:dyDescent="0.25">
      <c r="D223" s="12" t="str">
        <f>IFERROR(VLOOKUP(C223,'Data sheet'!$B:$C,2,0),"")</f>
        <v/>
      </c>
      <c r="E223" s="12" t="str">
        <f>IFERROR(VLOOKUP(C223,'Data sheet'!$B:$F,5,0),"")</f>
        <v/>
      </c>
    </row>
    <row r="224" spans="1:5" x14ac:dyDescent="0.25">
      <c r="D224" s="12" t="str">
        <f>IFERROR(VLOOKUP(C224,'Data sheet'!$B:$C,2,0),"")</f>
        <v/>
      </c>
      <c r="E224" s="12" t="str">
        <f>IFERROR(VLOOKUP(C224,'Data sheet'!$B:$F,5,0),"")</f>
        <v/>
      </c>
    </row>
    <row r="225" spans="4:5" x14ac:dyDescent="0.25">
      <c r="D225" s="12" t="str">
        <f>IFERROR(VLOOKUP(C225,'Data sheet'!$B:$C,2,0),"")</f>
        <v/>
      </c>
      <c r="E225" s="12" t="str">
        <f>IFERROR(VLOOKUP(C225,'Data sheet'!$B:$F,5,0),"")</f>
        <v/>
      </c>
    </row>
    <row r="226" spans="4:5" x14ac:dyDescent="0.25">
      <c r="D226" s="12" t="str">
        <f>IFERROR(VLOOKUP(C226,'Data sheet'!$B:$C,2,0),"")</f>
        <v/>
      </c>
      <c r="E226" s="12" t="str">
        <f>IFERROR(VLOOKUP(C226,'Data sheet'!$B:$F,5,0),"")</f>
        <v/>
      </c>
    </row>
    <row r="227" spans="4:5" x14ac:dyDescent="0.25">
      <c r="D227" s="12" t="str">
        <f>IFERROR(VLOOKUP(C227,'Data sheet'!$B:$C,2,0),"")</f>
        <v/>
      </c>
      <c r="E227" s="12" t="str">
        <f>IFERROR(VLOOKUP(C227,'Data sheet'!$B:$F,5,0),"")</f>
        <v/>
      </c>
    </row>
    <row r="228" spans="4:5" x14ac:dyDescent="0.25">
      <c r="D228" s="12" t="str">
        <f>IFERROR(VLOOKUP(C228,'Data sheet'!$B:$C,2,0),"")</f>
        <v/>
      </c>
      <c r="E228" s="12" t="str">
        <f>IFERROR(VLOOKUP(C228,'Data sheet'!$B:$F,5,0),"")</f>
        <v/>
      </c>
    </row>
    <row r="229" spans="4:5" x14ac:dyDescent="0.25">
      <c r="D229" s="12" t="str">
        <f>IFERROR(VLOOKUP(C229,'Data sheet'!$B:$C,2,0),"")</f>
        <v/>
      </c>
      <c r="E229" s="12" t="str">
        <f>IFERROR(VLOOKUP(C229,'Data sheet'!$B:$F,5,0),"")</f>
        <v/>
      </c>
    </row>
    <row r="230" spans="4:5" x14ac:dyDescent="0.25">
      <c r="D230" s="12" t="str">
        <f>IFERROR(VLOOKUP(C230,'Data sheet'!$B:$C,2,0),"")</f>
        <v/>
      </c>
      <c r="E230" s="12" t="str">
        <f>IFERROR(VLOOKUP(C230,'Data sheet'!$B:$F,5,0),"")</f>
        <v/>
      </c>
    </row>
    <row r="231" spans="4:5" x14ac:dyDescent="0.25">
      <c r="D231" s="12" t="str">
        <f>IFERROR(VLOOKUP(C231,'Data sheet'!$B:$C,2,0),"")</f>
        <v/>
      </c>
      <c r="E231" s="12" t="str">
        <f>IFERROR(VLOOKUP(C231,'Data sheet'!$B:$F,5,0),"")</f>
        <v/>
      </c>
    </row>
    <row r="232" spans="4:5" x14ac:dyDescent="0.25">
      <c r="D232" s="12" t="str">
        <f>IFERROR(VLOOKUP(C232,'Data sheet'!$B:$C,2,0),"")</f>
        <v/>
      </c>
      <c r="E232" s="12" t="str">
        <f>IFERROR(VLOOKUP(C232,'Data sheet'!$B:$F,5,0),"")</f>
        <v/>
      </c>
    </row>
    <row r="233" spans="4:5" x14ac:dyDescent="0.25">
      <c r="E233" s="12" t="str">
        <f>IFERROR(VLOOKUP(C233,'Data sheet'!$B:$F,5,0),"")</f>
        <v/>
      </c>
    </row>
    <row r="234" spans="4:5" x14ac:dyDescent="0.25">
      <c r="E234" s="12" t="str">
        <f>IFERROR(VLOOKUP(C234,'Data sheet'!$B:$F,5,0),"")</f>
        <v/>
      </c>
    </row>
    <row r="235" spans="4:5" x14ac:dyDescent="0.25">
      <c r="E235" s="12" t="str">
        <f>IFERROR(VLOOKUP(C235,'Data sheet'!$B:$F,5,0),"")</f>
        <v/>
      </c>
    </row>
    <row r="236" spans="4:5" x14ac:dyDescent="0.25">
      <c r="E236" s="12" t="str">
        <f>IFERROR(VLOOKUP(C236,'Data sheet'!$B:$F,5,0),"")</f>
        <v/>
      </c>
    </row>
    <row r="237" spans="4:5" x14ac:dyDescent="0.25">
      <c r="E237" s="12" t="str">
        <f>IFERROR(VLOOKUP(C237,'Data sheet'!$B:$F,5,0),"")</f>
        <v/>
      </c>
    </row>
    <row r="238" spans="4:5" x14ac:dyDescent="0.25">
      <c r="E238" s="12" t="str">
        <f>IFERROR(VLOOKUP(C238,'Data sheet'!$B:$F,5,0),"")</f>
        <v/>
      </c>
    </row>
    <row r="239" spans="4:5" x14ac:dyDescent="0.25">
      <c r="E239" s="12" t="str">
        <f>IFERROR(VLOOKUP(C239,'Data sheet'!$B:$F,5,0),"")</f>
        <v/>
      </c>
    </row>
    <row r="240" spans="4:5" x14ac:dyDescent="0.25">
      <c r="E240" s="12" t="str">
        <f>IFERROR(VLOOKUP(C240,'Data sheet'!$B:$F,5,0),"")</f>
        <v/>
      </c>
    </row>
    <row r="241" spans="5:5" x14ac:dyDescent="0.25">
      <c r="E241" s="12" t="str">
        <f>IFERROR(VLOOKUP(C241,'Data sheet'!$B:$F,5,0),"")</f>
        <v/>
      </c>
    </row>
    <row r="242" spans="5:5" x14ac:dyDescent="0.25">
      <c r="E242" s="12" t="str">
        <f>IFERROR(VLOOKUP(C242,'Data sheet'!$B:$F,5,0),"")</f>
        <v/>
      </c>
    </row>
  </sheetData>
  <autoFilter ref="A1:E242">
    <sortState ref="A3:E242">
      <sortCondition ref="A1:A243"/>
    </sortState>
  </autoFilter>
  <customSheetViews>
    <customSheetView guid="{0459E885-E56D-4233-A463-CDACB82F3A71}" showAutoFilter="1" topLeftCell="A181">
      <selection activeCell="D212" sqref="D212"/>
      <pageMargins left="0.7" right="0.7" top="0.75" bottom="0.75" header="0.3" footer="0.3"/>
      <pageSetup orientation="portrait" r:id="rId1"/>
      <autoFilter ref="A1:E242">
        <sortState ref="A3:E242">
          <sortCondition ref="A1:A243"/>
        </sortState>
      </autoFilter>
    </customSheetView>
    <customSheetView guid="{D31A0C38-2BF3-428E-8B63-7EF803410846}" topLeftCell="A175">
      <selection activeCell="A2" sqref="A2:B2"/>
      <pageMargins left="0.7" right="0.7" top="0.75" bottom="0.75" header="0.3" footer="0.3"/>
    </customSheetView>
    <customSheetView guid="{39AFBFEA-9E3B-4D39-9A52-E97212B04C3B}">
      <selection activeCell="A11" sqref="A11:A12"/>
      <pageMargins left="0.7" right="0.7" top="0.75" bottom="0.75" header="0.3" footer="0.3"/>
    </customSheetView>
    <customSheetView guid="{5E4851DA-2CDD-4E0B-A9F2-CF05D4206F60}" topLeftCell="A16">
      <selection activeCell="A39" sqref="A39"/>
      <pageMargins left="0.7" right="0.7" top="0.75" bottom="0.75" header="0.3" footer="0.3"/>
    </customSheetView>
    <customSheetView guid="{CAAB4857-130C-45CF-BDB7-F4543166DC3F}" topLeftCell="A82">
      <selection activeCell="D111" sqref="D111"/>
      <pageMargins left="0.7" right="0.7" top="0.75" bottom="0.75" header="0.3" footer="0.3"/>
    </customSheetView>
    <customSheetView guid="{E72D1D85-DDEA-47FF-9C0A-B8A16DD802DE}" showAutoFilter="1" topLeftCell="A181">
      <selection activeCell="D212" sqref="D212"/>
      <pageMargins left="0.7" right="0.7" top="0.75" bottom="0.75" header="0.3" footer="0.3"/>
      <pageSetup orientation="portrait" r:id="rId2"/>
      <autoFilter ref="A1:E242">
        <sortState ref="A3:E242">
          <sortCondition ref="A1:A243"/>
        </sortState>
      </autoFilter>
    </customSheetView>
  </customSheetViews>
  <dataValidations count="3">
    <dataValidation type="list" allowBlank="1" showInputMessage="1" showErrorMessage="1" sqref="C2:C105 C124:C125 C118">
      <formula1>Project</formula1>
    </dataValidation>
    <dataValidation type="list" allowBlank="1" showInputMessage="1" showErrorMessage="1" sqref="B2:B105 B124:B125">
      <formula1>Resources</formula1>
    </dataValidation>
    <dataValidation type="date" allowBlank="1" showInputMessage="1" showErrorMessage="1" sqref="A2:A105">
      <formula1>42005</formula1>
      <formula2>42735</formula2>
    </dataValidation>
  </dataValidation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728"/>
  <sheetViews>
    <sheetView workbookViewId="0">
      <selection activeCell="E36" sqref="E36"/>
    </sheetView>
  </sheetViews>
  <sheetFormatPr defaultRowHeight="15" x14ac:dyDescent="0.25"/>
  <cols>
    <col min="1" max="1" width="10.42578125" style="12" bestFit="1" customWidth="1"/>
    <col min="2" max="2" width="13.85546875" style="12" bestFit="1" customWidth="1"/>
    <col min="3" max="3" width="14.42578125" style="12" bestFit="1" customWidth="1"/>
    <col min="4" max="4" width="17.42578125" style="12" customWidth="1"/>
    <col min="5" max="5" width="71.5703125" style="12" bestFit="1" customWidth="1"/>
    <col min="6" max="6" width="10.28515625" style="12" bestFit="1"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x14ac:dyDescent="0.3">
      <c r="A1" s="18" t="s">
        <v>0</v>
      </c>
      <c r="B1" s="19" t="s">
        <v>1</v>
      </c>
      <c r="C1" s="20" t="s">
        <v>2</v>
      </c>
      <c r="D1" s="19" t="s">
        <v>4</v>
      </c>
      <c r="E1" s="22" t="s">
        <v>3</v>
      </c>
      <c r="F1" s="21" t="s">
        <v>5</v>
      </c>
      <c r="G1" s="19" t="s">
        <v>6</v>
      </c>
      <c r="H1" s="19" t="s">
        <v>7</v>
      </c>
      <c r="AA1" s="7" t="s">
        <v>2</v>
      </c>
      <c r="AB1" s="7" t="s">
        <v>3</v>
      </c>
      <c r="AC1" s="7" t="s">
        <v>5</v>
      </c>
      <c r="AD1" s="17" t="s">
        <v>68</v>
      </c>
      <c r="AE1" s="7" t="s">
        <v>14</v>
      </c>
    </row>
    <row r="2" spans="1:31" x14ac:dyDescent="0.25">
      <c r="A2" s="30"/>
      <c r="G2" s="23"/>
      <c r="AA2" s="13" t="s">
        <v>8</v>
      </c>
      <c r="AB2" s="13" t="s">
        <v>15</v>
      </c>
      <c r="AC2" s="16" t="s">
        <v>63</v>
      </c>
      <c r="AD2" s="16" t="s">
        <v>69</v>
      </c>
      <c r="AE2" s="9" t="s">
        <v>58</v>
      </c>
    </row>
    <row r="3" spans="1:31" x14ac:dyDescent="0.25">
      <c r="A3" s="30"/>
      <c r="AA3" s="13" t="s">
        <v>9</v>
      </c>
      <c r="AB3" s="13" t="s">
        <v>16</v>
      </c>
      <c r="AC3" s="16" t="s">
        <v>63</v>
      </c>
      <c r="AD3" s="16" t="s">
        <v>70</v>
      </c>
      <c r="AE3" s="9" t="s">
        <v>59</v>
      </c>
    </row>
    <row r="4" spans="1:31" x14ac:dyDescent="0.25">
      <c r="A4" s="30"/>
      <c r="AA4" s="13" t="s">
        <v>10</v>
      </c>
      <c r="AB4" s="13" t="s">
        <v>17</v>
      </c>
      <c r="AC4" s="16" t="s">
        <v>63</v>
      </c>
      <c r="AD4" s="16" t="s">
        <v>71</v>
      </c>
      <c r="AE4" s="9" t="s">
        <v>60</v>
      </c>
    </row>
    <row r="5" spans="1:31" x14ac:dyDescent="0.25">
      <c r="A5" s="30"/>
      <c r="G5" s="23"/>
      <c r="AA5" s="13" t="s">
        <v>12</v>
      </c>
      <c r="AB5" s="13" t="s">
        <v>18</v>
      </c>
      <c r="AC5" s="16" t="s">
        <v>63</v>
      </c>
      <c r="AD5" s="16" t="s">
        <v>72</v>
      </c>
      <c r="AE5" s="9" t="s">
        <v>61</v>
      </c>
    </row>
    <row r="6" spans="1:31" x14ac:dyDescent="0.25">
      <c r="A6" s="30"/>
      <c r="G6" s="23"/>
      <c r="H6" s="23"/>
      <c r="AA6" s="13" t="s">
        <v>13</v>
      </c>
      <c r="AB6" s="13" t="s">
        <v>19</v>
      </c>
      <c r="AC6" s="16" t="s">
        <v>64</v>
      </c>
      <c r="AD6" s="16" t="s">
        <v>73</v>
      </c>
      <c r="AE6" s="9" t="s">
        <v>11</v>
      </c>
    </row>
    <row r="7" spans="1:31" x14ac:dyDescent="0.25">
      <c r="A7" s="30"/>
      <c r="G7" s="23"/>
      <c r="AA7" s="13" t="s">
        <v>14</v>
      </c>
      <c r="AB7" s="13" t="s">
        <v>20</v>
      </c>
      <c r="AC7" s="16" t="s">
        <v>65</v>
      </c>
      <c r="AD7" s="16" t="s">
        <v>74</v>
      </c>
      <c r="AE7" s="9" t="s">
        <v>62</v>
      </c>
    </row>
    <row r="8" spans="1:31" x14ac:dyDescent="0.25">
      <c r="A8" s="30"/>
      <c r="G8" s="23"/>
      <c r="AB8" s="13" t="s">
        <v>21</v>
      </c>
      <c r="AC8" s="16" t="s">
        <v>64</v>
      </c>
      <c r="AD8" s="16" t="s">
        <v>75</v>
      </c>
    </row>
    <row r="9" spans="1:31" x14ac:dyDescent="0.25">
      <c r="A9" s="30"/>
      <c r="G9" s="23"/>
      <c r="AB9" s="13" t="s">
        <v>22</v>
      </c>
      <c r="AC9" s="16" t="s">
        <v>64</v>
      </c>
      <c r="AD9" s="16" t="s">
        <v>76</v>
      </c>
    </row>
    <row r="10" spans="1:31" x14ac:dyDescent="0.25">
      <c r="A10" s="30"/>
      <c r="G10" s="23"/>
      <c r="AB10" s="13" t="s">
        <v>23</v>
      </c>
      <c r="AC10" s="16" t="s">
        <v>65</v>
      </c>
      <c r="AD10" s="16" t="s">
        <v>77</v>
      </c>
    </row>
    <row r="11" spans="1:31" x14ac:dyDescent="0.25">
      <c r="A11" s="30"/>
      <c r="G11" s="23"/>
      <c r="AB11" s="13"/>
      <c r="AC11" s="16"/>
      <c r="AD11" s="16"/>
    </row>
    <row r="12" spans="1:31" x14ac:dyDescent="0.25">
      <c r="A12" s="30"/>
      <c r="G12" s="23"/>
      <c r="AB12" s="13" t="s">
        <v>24</v>
      </c>
      <c r="AC12" s="16" t="s">
        <v>63</v>
      </c>
      <c r="AD12" s="16" t="s">
        <v>78</v>
      </c>
    </row>
    <row r="13" spans="1:31" x14ac:dyDescent="0.25">
      <c r="A13" s="30"/>
      <c r="G13" s="23"/>
      <c r="AB13" s="13" t="s">
        <v>25</v>
      </c>
      <c r="AC13" s="13" t="s">
        <v>66</v>
      </c>
      <c r="AD13" s="8"/>
    </row>
    <row r="14" spans="1:31" x14ac:dyDescent="0.25">
      <c r="A14" s="30"/>
      <c r="G14" s="23"/>
      <c r="AB14" s="13" t="s">
        <v>26</v>
      </c>
      <c r="AC14" s="13" t="s">
        <v>65</v>
      </c>
      <c r="AD14" s="8"/>
    </row>
    <row r="15" spans="1:31" x14ac:dyDescent="0.25">
      <c r="A15" s="30"/>
      <c r="G15" s="23"/>
      <c r="AB15" s="13" t="s">
        <v>27</v>
      </c>
      <c r="AC15" s="13" t="s">
        <v>64</v>
      </c>
      <c r="AD15" s="8"/>
    </row>
    <row r="16" spans="1:31" x14ac:dyDescent="0.25">
      <c r="A16" s="30"/>
      <c r="G16" s="23"/>
      <c r="AB16" s="13" t="s">
        <v>28</v>
      </c>
      <c r="AC16" s="13" t="s">
        <v>63</v>
      </c>
      <c r="AD16" s="8"/>
    </row>
    <row r="17" spans="1:30" x14ac:dyDescent="0.25">
      <c r="A17" s="30"/>
      <c r="G17" s="23"/>
      <c r="AB17" s="13" t="s">
        <v>29</v>
      </c>
      <c r="AC17" s="13" t="s">
        <v>65</v>
      </c>
      <c r="AD17" s="8"/>
    </row>
    <row r="18" spans="1:30" x14ac:dyDescent="0.25">
      <c r="A18" s="30"/>
      <c r="G18" s="23"/>
      <c r="AB18" s="13" t="s">
        <v>30</v>
      </c>
      <c r="AC18" s="13" t="s">
        <v>64</v>
      </c>
      <c r="AD18" s="8"/>
    </row>
    <row r="19" spans="1:30" x14ac:dyDescent="0.25">
      <c r="A19" s="30"/>
      <c r="G19" s="23"/>
      <c r="AB19" s="13" t="s">
        <v>31</v>
      </c>
      <c r="AC19" s="13" t="s">
        <v>63</v>
      </c>
      <c r="AD19" s="8"/>
    </row>
    <row r="20" spans="1:30" x14ac:dyDescent="0.25">
      <c r="A20" s="30"/>
      <c r="G20" s="23"/>
      <c r="AB20" s="13" t="s">
        <v>32</v>
      </c>
      <c r="AC20" s="13" t="s">
        <v>64</v>
      </c>
      <c r="AD20" s="8"/>
    </row>
    <row r="21" spans="1:30" x14ac:dyDescent="0.25">
      <c r="A21" s="30"/>
      <c r="G21" s="23"/>
      <c r="AB21" s="13" t="s">
        <v>33</v>
      </c>
      <c r="AC21" s="13" t="s">
        <v>63</v>
      </c>
      <c r="AD21" s="8"/>
    </row>
    <row r="22" spans="1:30" x14ac:dyDescent="0.25">
      <c r="A22" s="30"/>
      <c r="G22" s="23"/>
      <c r="AB22" s="13" t="s">
        <v>34</v>
      </c>
      <c r="AC22" s="13" t="s">
        <v>63</v>
      </c>
      <c r="AD22" s="8"/>
    </row>
    <row r="23" spans="1:30" x14ac:dyDescent="0.25">
      <c r="A23" s="30"/>
      <c r="G23" s="23"/>
      <c r="AB23" s="13"/>
      <c r="AC23" s="13"/>
      <c r="AD23" s="8"/>
    </row>
    <row r="24" spans="1:30" x14ac:dyDescent="0.25">
      <c r="A24" s="30"/>
      <c r="G24" s="23"/>
      <c r="AB24" s="13" t="s">
        <v>35</v>
      </c>
      <c r="AC24" s="13" t="s">
        <v>65</v>
      </c>
      <c r="AD24" s="8"/>
    </row>
    <row r="25" spans="1:30" x14ac:dyDescent="0.25">
      <c r="A25" s="30"/>
      <c r="G25" s="23"/>
      <c r="AB25" s="13" t="s">
        <v>36</v>
      </c>
      <c r="AC25" s="13" t="s">
        <v>64</v>
      </c>
      <c r="AD25" s="8"/>
    </row>
    <row r="26" spans="1:30" x14ac:dyDescent="0.25">
      <c r="A26" s="30"/>
      <c r="G26" s="23"/>
      <c r="AB26" s="13" t="s">
        <v>37</v>
      </c>
      <c r="AC26" s="13" t="s">
        <v>66</v>
      </c>
      <c r="AD26" s="8"/>
    </row>
    <row r="27" spans="1:30" x14ac:dyDescent="0.25">
      <c r="A27" s="30"/>
      <c r="G27" s="23"/>
      <c r="AB27" s="13" t="s">
        <v>38</v>
      </c>
      <c r="AC27" s="13" t="s">
        <v>67</v>
      </c>
      <c r="AD27" s="8"/>
    </row>
    <row r="28" spans="1:30" x14ac:dyDescent="0.25">
      <c r="A28" s="30"/>
      <c r="G28" s="23"/>
      <c r="AB28" s="13" t="s">
        <v>39</v>
      </c>
      <c r="AC28" s="13" t="s">
        <v>63</v>
      </c>
      <c r="AD28" s="8"/>
    </row>
    <row r="29" spans="1:30" x14ac:dyDescent="0.25">
      <c r="A29" s="30"/>
      <c r="G29" s="23"/>
      <c r="AB29" s="13" t="s">
        <v>40</v>
      </c>
      <c r="AC29" s="13" t="s">
        <v>64</v>
      </c>
      <c r="AD29" s="8"/>
    </row>
    <row r="30" spans="1:30" x14ac:dyDescent="0.25">
      <c r="A30" s="30"/>
      <c r="G30" s="23"/>
      <c r="AB30" s="13" t="s">
        <v>41</v>
      </c>
      <c r="AC30" s="13" t="s">
        <v>67</v>
      </c>
      <c r="AD30" s="8"/>
    </row>
    <row r="31" spans="1:30" x14ac:dyDescent="0.25">
      <c r="A31" s="30"/>
      <c r="G31" s="23"/>
      <c r="AB31" s="13" t="s">
        <v>42</v>
      </c>
      <c r="AC31" s="13" t="s">
        <v>66</v>
      </c>
      <c r="AD31" s="8"/>
    </row>
    <row r="32" spans="1:30" x14ac:dyDescent="0.25">
      <c r="A32" s="30"/>
      <c r="G32" s="23"/>
      <c r="AB32" s="14" t="s">
        <v>43</v>
      </c>
      <c r="AC32" s="13" t="s">
        <v>64</v>
      </c>
      <c r="AD32" s="8"/>
    </row>
    <row r="33" spans="1:30" x14ac:dyDescent="0.25">
      <c r="A33" s="30"/>
      <c r="G33" s="23"/>
      <c r="AB33" s="15" t="s">
        <v>44</v>
      </c>
      <c r="AC33" s="13" t="s">
        <v>64</v>
      </c>
      <c r="AD33" s="8"/>
    </row>
    <row r="34" spans="1:30" x14ac:dyDescent="0.25">
      <c r="A34" s="30"/>
      <c r="G34" s="23"/>
      <c r="AB34" s="14" t="s">
        <v>45</v>
      </c>
      <c r="AC34" s="13" t="s">
        <v>64</v>
      </c>
      <c r="AD34" s="8"/>
    </row>
    <row r="35" spans="1:30" x14ac:dyDescent="0.25">
      <c r="A35" s="30"/>
      <c r="G35" s="23"/>
      <c r="AB35" s="15" t="s">
        <v>46</v>
      </c>
      <c r="AC35" s="13" t="s">
        <v>64</v>
      </c>
      <c r="AD35" s="8"/>
    </row>
    <row r="36" spans="1:30" x14ac:dyDescent="0.25">
      <c r="A36" s="30"/>
      <c r="G36" s="23"/>
      <c r="AB36" s="14" t="s">
        <v>47</v>
      </c>
      <c r="AC36" s="13" t="s">
        <v>64</v>
      </c>
      <c r="AD36" s="8"/>
    </row>
    <row r="37" spans="1:30" x14ac:dyDescent="0.25">
      <c r="A37" s="30"/>
      <c r="G37" s="23"/>
      <c r="AB37" s="15" t="s">
        <v>48</v>
      </c>
      <c r="AC37" s="13" t="s">
        <v>64</v>
      </c>
      <c r="AD37" s="8"/>
    </row>
    <row r="38" spans="1:30" x14ac:dyDescent="0.25">
      <c r="A38" s="30"/>
      <c r="G38" s="23"/>
      <c r="AB38" s="14" t="s">
        <v>49</v>
      </c>
      <c r="AC38" s="13" t="s">
        <v>67</v>
      </c>
      <c r="AD38" s="8"/>
    </row>
    <row r="39" spans="1:30" x14ac:dyDescent="0.25">
      <c r="A39" s="30"/>
      <c r="G39" s="23"/>
      <c r="AB39" s="15" t="s">
        <v>50</v>
      </c>
      <c r="AC39" s="13" t="s">
        <v>66</v>
      </c>
      <c r="AD39" s="8"/>
    </row>
    <row r="40" spans="1:30" x14ac:dyDescent="0.25">
      <c r="A40" s="30"/>
      <c r="G40" s="23"/>
      <c r="AB40" s="14" t="s">
        <v>51</v>
      </c>
      <c r="AC40" s="13" t="s">
        <v>66</v>
      </c>
      <c r="AD40" s="8"/>
    </row>
    <row r="41" spans="1:30" x14ac:dyDescent="0.25">
      <c r="A41" s="30"/>
      <c r="G41" s="23"/>
      <c r="AB41" s="1" t="s">
        <v>52</v>
      </c>
      <c r="AC41" s="13" t="s">
        <v>63</v>
      </c>
      <c r="AD41" s="8"/>
    </row>
    <row r="42" spans="1:30" x14ac:dyDescent="0.25">
      <c r="A42" s="30"/>
      <c r="G42" s="23"/>
      <c r="AB42" s="6" t="s">
        <v>53</v>
      </c>
      <c r="AC42" s="13" t="s">
        <v>63</v>
      </c>
      <c r="AD42" s="8"/>
    </row>
    <row r="43" spans="1:30" x14ac:dyDescent="0.25">
      <c r="A43" s="30"/>
      <c r="G43" s="23"/>
      <c r="AB43" s="6" t="s">
        <v>54</v>
      </c>
      <c r="AC43" s="13" t="s">
        <v>65</v>
      </c>
      <c r="AD43" s="8"/>
    </row>
    <row r="44" spans="1:30" x14ac:dyDescent="0.25">
      <c r="A44" s="30"/>
      <c r="G44" s="23"/>
      <c r="AB44" s="6" t="s">
        <v>54</v>
      </c>
      <c r="AC44" s="13" t="s">
        <v>65</v>
      </c>
      <c r="AD44" s="8"/>
    </row>
    <row r="45" spans="1:30" x14ac:dyDescent="0.25">
      <c r="A45" s="30"/>
      <c r="G45" s="23"/>
      <c r="AB45" s="13" t="s">
        <v>56</v>
      </c>
      <c r="AC45" s="13" t="s">
        <v>67</v>
      </c>
      <c r="AD45" s="8"/>
    </row>
    <row r="46" spans="1:30" x14ac:dyDescent="0.25">
      <c r="A46" s="30"/>
      <c r="G46" s="23"/>
      <c r="AB46" s="13" t="s">
        <v>40</v>
      </c>
      <c r="AC46" s="13" t="s">
        <v>64</v>
      </c>
      <c r="AD46" s="8"/>
    </row>
    <row r="47" spans="1:30" x14ac:dyDescent="0.25">
      <c r="A47" s="30"/>
      <c r="G47" s="23"/>
      <c r="AB47" s="13" t="s">
        <v>57</v>
      </c>
      <c r="AC47" s="13" t="s">
        <v>64</v>
      </c>
      <c r="AD47" s="8"/>
    </row>
    <row r="48" spans="1:30" x14ac:dyDescent="0.25">
      <c r="A48" s="30"/>
      <c r="G48" s="23"/>
    </row>
    <row r="59" spans="6:6" x14ac:dyDescent="0.25">
      <c r="F59" s="12" t="str">
        <f>IFERROR(VLOOKUP(E59,'Data sheet'!$B:$C,2,0),"")</f>
        <v/>
      </c>
    </row>
    <row r="60" spans="6:6" x14ac:dyDescent="0.25">
      <c r="F60" s="12" t="str">
        <f>IFERROR(VLOOKUP(E60,'Data sheet'!$B:$C,2,0),"")</f>
        <v/>
      </c>
    </row>
    <row r="61" spans="6:6" x14ac:dyDescent="0.25">
      <c r="F61" s="12" t="str">
        <f>IFERROR(VLOOKUP(E61,'Data sheet'!$B:$C,2,0),"")</f>
        <v/>
      </c>
    </row>
    <row r="62" spans="6:6" x14ac:dyDescent="0.25">
      <c r="F62" s="12" t="str">
        <f>IFERROR(VLOOKUP(E62,'Data sheet'!$B:$C,2,0),"")</f>
        <v/>
      </c>
    </row>
    <row r="63" spans="6:6" x14ac:dyDescent="0.25">
      <c r="F63" s="12" t="str">
        <f>IFERROR(VLOOKUP(E63,'Data sheet'!$B:$C,2,0),"")</f>
        <v/>
      </c>
    </row>
    <row r="64" spans="6:6" x14ac:dyDescent="0.25">
      <c r="F64" s="12" t="str">
        <f>IFERROR(VLOOKUP(E64,'Data sheet'!$B:$C,2,0),"")</f>
        <v/>
      </c>
    </row>
    <row r="65" spans="6:6" x14ac:dyDescent="0.25">
      <c r="F65" s="12" t="str">
        <f>IFERROR(VLOOKUP(E65,'Data sheet'!$B:$C,2,0),"")</f>
        <v/>
      </c>
    </row>
    <row r="66" spans="6:6" x14ac:dyDescent="0.25">
      <c r="F66" s="12" t="str">
        <f>IFERROR(VLOOKUP(E66,'Data sheet'!$B:$C,2,0),"")</f>
        <v/>
      </c>
    </row>
    <row r="67" spans="6:6" x14ac:dyDescent="0.25">
      <c r="F67" s="12" t="str">
        <f>IFERROR(VLOOKUP(E67,'Data sheet'!$B:$C,2,0),"")</f>
        <v/>
      </c>
    </row>
    <row r="68" spans="6:6" x14ac:dyDescent="0.25">
      <c r="F68" s="12" t="str">
        <f>IFERROR(VLOOKUP(E68,'Data sheet'!$B:$C,2,0),"")</f>
        <v/>
      </c>
    </row>
    <row r="69" spans="6:6" x14ac:dyDescent="0.25">
      <c r="F69" s="12" t="str">
        <f>IFERROR(VLOOKUP(E69,'Data sheet'!$B:$C,2,0),"")</f>
        <v/>
      </c>
    </row>
    <row r="70" spans="6:6" x14ac:dyDescent="0.25">
      <c r="F70" s="12" t="str">
        <f>IFERROR(VLOOKUP(E70,'Data sheet'!$B:$C,2,0),"")</f>
        <v/>
      </c>
    </row>
    <row r="71" spans="6:6" x14ac:dyDescent="0.25">
      <c r="F71" s="12" t="str">
        <f>IFERROR(VLOOKUP(E71,'Data sheet'!$B:$C,2,0),"")</f>
        <v/>
      </c>
    </row>
    <row r="72" spans="6:6" x14ac:dyDescent="0.25">
      <c r="F72" s="12" t="str">
        <f>IFERROR(VLOOKUP(E72,'Data sheet'!$B:$C,2,0),"")</f>
        <v/>
      </c>
    </row>
    <row r="73" spans="6:6" x14ac:dyDescent="0.25">
      <c r="F73" s="12" t="str">
        <f>IFERROR(VLOOKUP(E73,'Data sheet'!$B:$C,2,0),"")</f>
        <v/>
      </c>
    </row>
    <row r="74" spans="6:6" x14ac:dyDescent="0.25">
      <c r="F74" s="12" t="str">
        <f>IFERROR(VLOOKUP(E74,'Data sheet'!$B:$C,2,0),"")</f>
        <v/>
      </c>
    </row>
    <row r="75" spans="6:6" x14ac:dyDescent="0.25">
      <c r="F75" s="12" t="str">
        <f>IFERROR(VLOOKUP(E75,'Data sheet'!$B:$C,2,0),"")</f>
        <v/>
      </c>
    </row>
    <row r="76" spans="6:6" x14ac:dyDescent="0.25">
      <c r="F76" s="12" t="str">
        <f>IFERROR(VLOOKUP(E76,'Data sheet'!$B:$C,2,0),"")</f>
        <v/>
      </c>
    </row>
    <row r="77" spans="6:6" x14ac:dyDescent="0.25">
      <c r="F77" s="12" t="str">
        <f>IFERROR(VLOOKUP(E77,'Data sheet'!$B:$C,2,0),"")</f>
        <v/>
      </c>
    </row>
    <row r="78" spans="6:6" x14ac:dyDescent="0.25">
      <c r="F78" s="12" t="str">
        <f>IFERROR(VLOOKUP(E78,'Data sheet'!$B:$C,2,0),"")</f>
        <v/>
      </c>
    </row>
    <row r="79" spans="6:6" x14ac:dyDescent="0.25">
      <c r="F79" s="12" t="str">
        <f>IFERROR(VLOOKUP(E79,'Data sheet'!$B:$C,2,0),"")</f>
        <v/>
      </c>
    </row>
    <row r="80" spans="6:6" x14ac:dyDescent="0.25">
      <c r="F80" s="12" t="str">
        <f>IFERROR(VLOOKUP(E80,'Data sheet'!$B:$C,2,0),"")</f>
        <v/>
      </c>
    </row>
    <row r="81" spans="6:6" x14ac:dyDescent="0.25">
      <c r="F81" s="12" t="str">
        <f>IFERROR(VLOOKUP(E81,'Data sheet'!$B:$C,2,0),"")</f>
        <v/>
      </c>
    </row>
    <row r="82" spans="6:6" x14ac:dyDescent="0.25">
      <c r="F82" s="12" t="str">
        <f>IFERROR(VLOOKUP(E82,'Data sheet'!$B:$C,2,0),"")</f>
        <v/>
      </c>
    </row>
    <row r="83" spans="6:6" x14ac:dyDescent="0.25">
      <c r="F83" s="12" t="str">
        <f>IFERROR(VLOOKUP(E83,'Data sheet'!$B:$C,2,0),"")</f>
        <v/>
      </c>
    </row>
    <row r="84" spans="6:6" x14ac:dyDescent="0.25">
      <c r="F84" s="12" t="str">
        <f>IFERROR(VLOOKUP(E84,'Data sheet'!$B:$C,2,0),"")</f>
        <v/>
      </c>
    </row>
    <row r="85" spans="6:6" x14ac:dyDescent="0.25">
      <c r="F85" s="12" t="str">
        <f>IFERROR(VLOOKUP(E85,'Data sheet'!$B:$C,2,0),"")</f>
        <v/>
      </c>
    </row>
    <row r="86" spans="6:6" x14ac:dyDescent="0.25">
      <c r="F86" s="12" t="str">
        <f>IFERROR(VLOOKUP(E86,'Data sheet'!$B:$C,2,0),"")</f>
        <v/>
      </c>
    </row>
    <row r="87" spans="6:6" x14ac:dyDescent="0.25">
      <c r="F87" s="12" t="str">
        <f>IFERROR(VLOOKUP(E87,'Data sheet'!$B:$C,2,0),"")</f>
        <v/>
      </c>
    </row>
    <row r="88" spans="6:6" x14ac:dyDescent="0.25">
      <c r="F88" s="12" t="str">
        <f>IFERROR(VLOOKUP(E88,'Data sheet'!$B:$C,2,0),"")</f>
        <v/>
      </c>
    </row>
    <row r="89" spans="6:6" x14ac:dyDescent="0.25">
      <c r="F89" s="12" t="str">
        <f>IFERROR(VLOOKUP(E89,'Data sheet'!$B:$C,2,0),"")</f>
        <v/>
      </c>
    </row>
    <row r="90" spans="6:6" x14ac:dyDescent="0.25">
      <c r="F90" s="12" t="str">
        <f>IFERROR(VLOOKUP(E90,'Data sheet'!$B:$C,2,0),"")</f>
        <v/>
      </c>
    </row>
    <row r="91" spans="6:6" x14ac:dyDescent="0.25">
      <c r="F91" s="12" t="str">
        <f>IFERROR(VLOOKUP(E91,'Data sheet'!$B:$C,2,0),"")</f>
        <v/>
      </c>
    </row>
    <row r="92" spans="6:6" x14ac:dyDescent="0.25">
      <c r="F92" s="12" t="str">
        <f>IFERROR(VLOOKUP(E92,'Data sheet'!$B:$C,2,0),"")</f>
        <v/>
      </c>
    </row>
    <row r="93" spans="6:6" x14ac:dyDescent="0.25">
      <c r="F93" s="12" t="str">
        <f>IFERROR(VLOOKUP(E93,'Data sheet'!$B:$C,2,0),"")</f>
        <v/>
      </c>
    </row>
    <row r="94" spans="6:6" x14ac:dyDescent="0.25">
      <c r="F94" s="12" t="str">
        <f>IFERROR(VLOOKUP(E94,'Data sheet'!$B:$C,2,0),"")</f>
        <v/>
      </c>
    </row>
    <row r="95" spans="6:6" x14ac:dyDescent="0.25">
      <c r="F95" s="12" t="str">
        <f>IFERROR(VLOOKUP(E95,'Data sheet'!$B:$C,2,0),"")</f>
        <v/>
      </c>
    </row>
    <row r="96" spans="6:6" x14ac:dyDescent="0.25">
      <c r="F96" s="12" t="str">
        <f>IFERROR(VLOOKUP(E96,'Data sheet'!$B:$C,2,0),"")</f>
        <v/>
      </c>
    </row>
    <row r="97" spans="6:6" x14ac:dyDescent="0.25">
      <c r="F97" s="12" t="str">
        <f>IFERROR(VLOOKUP(E97,'Data sheet'!$B:$C,2,0),"")</f>
        <v/>
      </c>
    </row>
    <row r="98" spans="6:6" x14ac:dyDescent="0.25">
      <c r="F98" s="12" t="str">
        <f>IFERROR(VLOOKUP(E98,'Data sheet'!$B:$C,2,0),"")</f>
        <v/>
      </c>
    </row>
    <row r="99" spans="6:6" x14ac:dyDescent="0.25">
      <c r="F99" s="12" t="str">
        <f>IFERROR(VLOOKUP(E99,'Data sheet'!$B:$C,2,0),"")</f>
        <v/>
      </c>
    </row>
    <row r="100" spans="6:6" x14ac:dyDescent="0.25">
      <c r="F100" s="12" t="str">
        <f>IFERROR(VLOOKUP(E100,'Data sheet'!$B:$C,2,0),"")</f>
        <v/>
      </c>
    </row>
    <row r="101" spans="6:6" x14ac:dyDescent="0.25">
      <c r="F101" s="12" t="str">
        <f>IFERROR(VLOOKUP(E101,'Data sheet'!$B:$C,2,0),"")</f>
        <v/>
      </c>
    </row>
    <row r="102" spans="6:6" x14ac:dyDescent="0.25">
      <c r="F102" s="12" t="str">
        <f>IFERROR(VLOOKUP(E102,'Data sheet'!$B:$C,2,0),"")</f>
        <v/>
      </c>
    </row>
    <row r="103" spans="6:6" x14ac:dyDescent="0.25">
      <c r="F103" s="12" t="str">
        <f>IFERROR(VLOOKUP(E103,'Data sheet'!$B:$C,2,0),"")</f>
        <v/>
      </c>
    </row>
    <row r="104" spans="6:6" x14ac:dyDescent="0.25">
      <c r="F104" s="12" t="str">
        <f>IFERROR(VLOOKUP(E104,'Data sheet'!$B:$C,2,0),"")</f>
        <v/>
      </c>
    </row>
    <row r="105" spans="6:6" x14ac:dyDescent="0.25">
      <c r="F105" s="12" t="str">
        <f>IFERROR(VLOOKUP(E105,'Data sheet'!$B:$C,2,0),"")</f>
        <v/>
      </c>
    </row>
    <row r="106" spans="6:6" x14ac:dyDescent="0.25">
      <c r="F106" s="12" t="str">
        <f>IFERROR(VLOOKUP(E106,'Data sheet'!$B:$C,2,0),"")</f>
        <v/>
      </c>
    </row>
    <row r="107" spans="6:6" x14ac:dyDescent="0.25">
      <c r="F107" s="12" t="str">
        <f>IFERROR(VLOOKUP(E107,'Data sheet'!$B:$C,2,0),"")</f>
        <v/>
      </c>
    </row>
    <row r="108" spans="6:6" x14ac:dyDescent="0.25">
      <c r="F108" s="12" t="str">
        <f>IFERROR(VLOOKUP(E108,'Data sheet'!$B:$C,2,0),"")</f>
        <v/>
      </c>
    </row>
    <row r="109" spans="6:6" x14ac:dyDescent="0.25">
      <c r="F109" s="12" t="str">
        <f>IFERROR(VLOOKUP(E109,'Data sheet'!$B:$C,2,0),"")</f>
        <v/>
      </c>
    </row>
    <row r="110" spans="6:6" x14ac:dyDescent="0.25">
      <c r="F110" s="12" t="str">
        <f>IFERROR(VLOOKUP(E110,'Data sheet'!$B:$C,2,0),"")</f>
        <v/>
      </c>
    </row>
    <row r="111" spans="6:6" x14ac:dyDescent="0.25">
      <c r="F111" s="12" t="str">
        <f>IFERROR(VLOOKUP(E111,'Data sheet'!$B:$C,2,0),"")</f>
        <v/>
      </c>
    </row>
    <row r="112" spans="6:6" x14ac:dyDescent="0.25">
      <c r="F112" s="12" t="str">
        <f>IFERROR(VLOOKUP(E112,'Data sheet'!$B:$C,2,0),"")</f>
        <v/>
      </c>
    </row>
    <row r="113" spans="6:6" x14ac:dyDescent="0.25">
      <c r="F113" s="12" t="str">
        <f>IFERROR(VLOOKUP(E113,'Data sheet'!$B:$C,2,0),"")</f>
        <v/>
      </c>
    </row>
    <row r="114" spans="6:6" x14ac:dyDescent="0.25">
      <c r="F114" s="12" t="str">
        <f>IFERROR(VLOOKUP(E114,'Data sheet'!$B:$C,2,0),"")</f>
        <v/>
      </c>
    </row>
    <row r="115" spans="6:6" x14ac:dyDescent="0.25">
      <c r="F115" s="12" t="str">
        <f>IFERROR(VLOOKUP(E115,'Data sheet'!$B:$C,2,0),"")</f>
        <v/>
      </c>
    </row>
    <row r="116" spans="6:6" x14ac:dyDescent="0.25">
      <c r="F116" s="12" t="str">
        <f>IFERROR(VLOOKUP(E116,'Data sheet'!$B:$C,2,0),"")</f>
        <v/>
      </c>
    </row>
    <row r="117" spans="6:6" x14ac:dyDescent="0.25">
      <c r="F117" s="12" t="str">
        <f>IFERROR(VLOOKUP(E117,'Data sheet'!$B:$C,2,0),"")</f>
        <v/>
      </c>
    </row>
    <row r="118" spans="6:6" x14ac:dyDescent="0.25">
      <c r="F118" s="12" t="str">
        <f>IFERROR(VLOOKUP(E118,'Data sheet'!$B:$C,2,0),"")</f>
        <v/>
      </c>
    </row>
    <row r="119" spans="6:6" x14ac:dyDescent="0.25">
      <c r="F119" s="12" t="str">
        <f>IFERROR(VLOOKUP(E119,'Data sheet'!$B:$C,2,0),"")</f>
        <v/>
      </c>
    </row>
    <row r="120" spans="6:6" x14ac:dyDescent="0.25">
      <c r="F120" s="12" t="str">
        <f>IFERROR(VLOOKUP(E120,'Data sheet'!$B:$C,2,0),"")</f>
        <v/>
      </c>
    </row>
    <row r="121" spans="6:6" x14ac:dyDescent="0.25">
      <c r="F121" s="12" t="str">
        <f>IFERROR(VLOOKUP(E121,'Data sheet'!$B:$C,2,0),"")</f>
        <v/>
      </c>
    </row>
    <row r="122" spans="6:6" x14ac:dyDescent="0.25">
      <c r="F122" s="12" t="str">
        <f>IFERROR(VLOOKUP(E122,'Data sheet'!$B:$C,2,0),"")</f>
        <v/>
      </c>
    </row>
    <row r="123" spans="6:6" x14ac:dyDescent="0.25">
      <c r="F123" s="12" t="str">
        <f>IFERROR(VLOOKUP(E123,'Data sheet'!$B:$C,2,0),"")</f>
        <v/>
      </c>
    </row>
    <row r="124" spans="6:6" x14ac:dyDescent="0.25">
      <c r="F124" s="12" t="str">
        <f>IFERROR(VLOOKUP(E124,'Data sheet'!$B:$C,2,0),"")</f>
        <v/>
      </c>
    </row>
    <row r="125" spans="6:6" x14ac:dyDescent="0.25">
      <c r="F125" s="12" t="str">
        <f>IFERROR(VLOOKUP(E125,'Data sheet'!$B:$C,2,0),"")</f>
        <v/>
      </c>
    </row>
    <row r="126" spans="6:6" x14ac:dyDescent="0.25">
      <c r="F126" s="12" t="str">
        <f>IFERROR(VLOOKUP(E126,'Data sheet'!$B:$C,2,0),"")</f>
        <v/>
      </c>
    </row>
    <row r="127" spans="6:6" x14ac:dyDescent="0.25">
      <c r="F127" s="12" t="str">
        <f>IFERROR(VLOOKUP(E127,'Data sheet'!$B:$C,2,0),"")</f>
        <v/>
      </c>
    </row>
    <row r="128" spans="6:6" x14ac:dyDescent="0.25">
      <c r="F128" s="12" t="str">
        <f>IFERROR(VLOOKUP(E128,'Data sheet'!$B:$C,2,0),"")</f>
        <v/>
      </c>
    </row>
    <row r="129" spans="6:6" x14ac:dyDescent="0.25">
      <c r="F129" s="12" t="str">
        <f>IFERROR(VLOOKUP(E129,'Data sheet'!$B:$C,2,0),"")</f>
        <v/>
      </c>
    </row>
    <row r="130" spans="6:6" x14ac:dyDescent="0.25">
      <c r="F130" s="12" t="str">
        <f>IFERROR(VLOOKUP(E130,'Data sheet'!$B:$C,2,0),"")</f>
        <v/>
      </c>
    </row>
    <row r="131" spans="6:6" x14ac:dyDescent="0.25">
      <c r="F131" s="12" t="str">
        <f>IFERROR(VLOOKUP(E131,'Data sheet'!$B:$C,2,0),"")</f>
        <v/>
      </c>
    </row>
    <row r="132" spans="6:6" x14ac:dyDescent="0.25">
      <c r="F132" s="12" t="str">
        <f>IFERROR(VLOOKUP(E132,'Data sheet'!$B:$C,2,0),"")</f>
        <v/>
      </c>
    </row>
    <row r="133" spans="6:6" x14ac:dyDescent="0.25">
      <c r="F133" s="12" t="str">
        <f>IFERROR(VLOOKUP(E133,'Data sheet'!$B:$C,2,0),"")</f>
        <v/>
      </c>
    </row>
    <row r="134" spans="6:6" x14ac:dyDescent="0.25">
      <c r="F134" s="12" t="str">
        <f>IFERROR(VLOOKUP(E134,'Data sheet'!$B:$C,2,0),"")</f>
        <v/>
      </c>
    </row>
    <row r="135" spans="6:6" x14ac:dyDescent="0.25">
      <c r="F135" s="12" t="str">
        <f>IFERROR(VLOOKUP(E135,'Data sheet'!$B:$C,2,0),"")</f>
        <v/>
      </c>
    </row>
    <row r="136" spans="6:6" x14ac:dyDescent="0.25">
      <c r="F136" s="12" t="str">
        <f>IFERROR(VLOOKUP(E136,'Data sheet'!$B:$C,2,0),"")</f>
        <v/>
      </c>
    </row>
    <row r="137" spans="6:6" x14ac:dyDescent="0.25">
      <c r="F137" s="12" t="str">
        <f>IFERROR(VLOOKUP(E137,'Data sheet'!$B:$C,2,0),"")</f>
        <v/>
      </c>
    </row>
    <row r="138" spans="6:6" x14ac:dyDescent="0.25">
      <c r="F138" s="12" t="str">
        <f>IFERROR(VLOOKUP(E138,'Data sheet'!$B:$C,2,0),"")</f>
        <v/>
      </c>
    </row>
    <row r="139" spans="6:6" x14ac:dyDescent="0.25">
      <c r="F139" s="12" t="str">
        <f>IFERROR(VLOOKUP(E139,'Data sheet'!$B:$C,2,0),"")</f>
        <v/>
      </c>
    </row>
    <row r="140" spans="6:6" x14ac:dyDescent="0.25">
      <c r="F140" s="12" t="str">
        <f>IFERROR(VLOOKUP(E140,'Data sheet'!$B:$C,2,0),"")</f>
        <v/>
      </c>
    </row>
    <row r="141" spans="6:6" x14ac:dyDescent="0.25">
      <c r="F141" s="12" t="str">
        <f>IFERROR(VLOOKUP(E141,'Data sheet'!$B:$C,2,0),"")</f>
        <v/>
      </c>
    </row>
    <row r="142" spans="6:6" x14ac:dyDescent="0.25">
      <c r="F142" s="12" t="str">
        <f>IFERROR(VLOOKUP(E142,'Data sheet'!$B:$C,2,0),"")</f>
        <v/>
      </c>
    </row>
    <row r="143" spans="6:6" x14ac:dyDescent="0.25">
      <c r="F143" s="12" t="str">
        <f>IFERROR(VLOOKUP(E143,'Data sheet'!$B:$C,2,0),"")</f>
        <v/>
      </c>
    </row>
    <row r="144" spans="6:6" x14ac:dyDescent="0.25">
      <c r="F144" s="12" t="str">
        <f>IFERROR(VLOOKUP(E144,'Data sheet'!$B:$C,2,0),"")</f>
        <v/>
      </c>
    </row>
    <row r="145" spans="6:6" x14ac:dyDescent="0.25">
      <c r="F145" s="12" t="str">
        <f>IFERROR(VLOOKUP(E145,'Data sheet'!$B:$C,2,0),"")</f>
        <v/>
      </c>
    </row>
    <row r="146" spans="6:6" x14ac:dyDescent="0.25">
      <c r="F146" s="12" t="str">
        <f>IFERROR(VLOOKUP(E146,'Data sheet'!$B:$C,2,0),"")</f>
        <v/>
      </c>
    </row>
    <row r="147" spans="6:6" x14ac:dyDescent="0.25">
      <c r="F147" s="12" t="str">
        <f>IFERROR(VLOOKUP(E147,'Data sheet'!$B:$C,2,0),"")</f>
        <v/>
      </c>
    </row>
    <row r="148" spans="6:6" x14ac:dyDescent="0.25">
      <c r="F148" s="12" t="str">
        <f>IFERROR(VLOOKUP(E148,'Data sheet'!$B:$C,2,0),"")</f>
        <v/>
      </c>
    </row>
    <row r="149" spans="6:6" x14ac:dyDescent="0.25">
      <c r="F149" s="12" t="str">
        <f>IFERROR(VLOOKUP(E149,'Data sheet'!$B:$C,2,0),"")</f>
        <v/>
      </c>
    </row>
    <row r="150" spans="6:6" x14ac:dyDescent="0.25">
      <c r="F150" s="12" t="str">
        <f>IFERROR(VLOOKUP(E150,'Data sheet'!$B:$C,2,0),"")</f>
        <v/>
      </c>
    </row>
    <row r="151" spans="6:6" x14ac:dyDescent="0.25">
      <c r="F151" s="12" t="str">
        <f>IFERROR(VLOOKUP(E151,'Data sheet'!$B:$C,2,0),"")</f>
        <v/>
      </c>
    </row>
    <row r="152" spans="6:6" x14ac:dyDescent="0.25">
      <c r="F152" s="12" t="str">
        <f>IFERROR(VLOOKUP(E152,'Data sheet'!$B:$C,2,0),"")</f>
        <v/>
      </c>
    </row>
    <row r="153" spans="6:6" x14ac:dyDescent="0.25">
      <c r="F153" s="12" t="str">
        <f>IFERROR(VLOOKUP(E153,'Data sheet'!$B:$C,2,0),"")</f>
        <v/>
      </c>
    </row>
    <row r="154" spans="6:6" x14ac:dyDescent="0.25">
      <c r="F154" s="12" t="str">
        <f>IFERROR(VLOOKUP(E154,'Data sheet'!$B:$C,2,0),"")</f>
        <v/>
      </c>
    </row>
    <row r="155" spans="6:6" x14ac:dyDescent="0.25">
      <c r="F155" s="12" t="str">
        <f>IFERROR(VLOOKUP(E155,'Data sheet'!$B:$C,2,0),"")</f>
        <v/>
      </c>
    </row>
    <row r="156" spans="6:6" x14ac:dyDescent="0.25">
      <c r="F156" s="12" t="str">
        <f>IFERROR(VLOOKUP(E156,'Data sheet'!$B:$C,2,0),"")</f>
        <v/>
      </c>
    </row>
    <row r="157" spans="6:6" x14ac:dyDescent="0.25">
      <c r="F157" s="12" t="str">
        <f>IFERROR(VLOOKUP(E157,'Data sheet'!$B:$C,2,0),"")</f>
        <v/>
      </c>
    </row>
    <row r="158" spans="6:6" x14ac:dyDescent="0.25">
      <c r="F158" s="12" t="str">
        <f>IFERROR(VLOOKUP(E158,'Data sheet'!$B:$C,2,0),"")</f>
        <v/>
      </c>
    </row>
    <row r="159" spans="6:6" x14ac:dyDescent="0.25">
      <c r="F159" s="12" t="str">
        <f>IFERROR(VLOOKUP(E159,'Data sheet'!$B:$C,2,0),"")</f>
        <v/>
      </c>
    </row>
    <row r="160" spans="6:6" x14ac:dyDescent="0.25">
      <c r="F160" s="12" t="str">
        <f>IFERROR(VLOOKUP(E160,'Data sheet'!$B:$C,2,0),"")</f>
        <v/>
      </c>
    </row>
    <row r="161" spans="6:6" x14ac:dyDescent="0.25">
      <c r="F161" s="12" t="str">
        <f>IFERROR(VLOOKUP(E161,'Data sheet'!$B:$C,2,0),"")</f>
        <v/>
      </c>
    </row>
    <row r="162" spans="6:6" x14ac:dyDescent="0.25">
      <c r="F162" s="12" t="str">
        <f>IFERROR(VLOOKUP(E162,'Data sheet'!$B:$C,2,0),"")</f>
        <v/>
      </c>
    </row>
    <row r="163" spans="6:6" x14ac:dyDescent="0.25">
      <c r="F163" s="12" t="str">
        <f>IFERROR(VLOOKUP(E163,'Data sheet'!$B:$C,2,0),"")</f>
        <v/>
      </c>
    </row>
    <row r="164" spans="6:6" x14ac:dyDescent="0.25">
      <c r="F164" s="12" t="str">
        <f>IFERROR(VLOOKUP(E164,'Data sheet'!$B:$C,2,0),"")</f>
        <v/>
      </c>
    </row>
    <row r="165" spans="6:6" x14ac:dyDescent="0.25">
      <c r="F165" s="12" t="str">
        <f>IFERROR(VLOOKUP(E165,'Data sheet'!$B:$C,2,0),"")</f>
        <v/>
      </c>
    </row>
    <row r="166" spans="6:6" x14ac:dyDescent="0.25">
      <c r="F166" s="12" t="str">
        <f>IFERROR(VLOOKUP(E166,'Data sheet'!$B:$C,2,0),"")</f>
        <v/>
      </c>
    </row>
    <row r="167" spans="6:6" x14ac:dyDescent="0.25">
      <c r="F167" s="12" t="str">
        <f>IFERROR(VLOOKUP(E167,'Data sheet'!$B:$C,2,0),"")</f>
        <v/>
      </c>
    </row>
    <row r="168" spans="6:6" x14ac:dyDescent="0.25">
      <c r="F168" s="12" t="str">
        <f>IFERROR(VLOOKUP(E168,'Data sheet'!$B:$C,2,0),"")</f>
        <v/>
      </c>
    </row>
    <row r="169" spans="6:6" x14ac:dyDescent="0.25">
      <c r="F169" s="12" t="str">
        <f>IFERROR(VLOOKUP(E169,'Data sheet'!$B:$C,2,0),"")</f>
        <v/>
      </c>
    </row>
    <row r="170" spans="6:6" x14ac:dyDescent="0.25">
      <c r="F170" s="12" t="str">
        <f>IFERROR(VLOOKUP(E170,'Data sheet'!$B:$C,2,0),"")</f>
        <v/>
      </c>
    </row>
    <row r="171" spans="6:6" x14ac:dyDescent="0.25">
      <c r="F171" s="12" t="str">
        <f>IFERROR(VLOOKUP(E171,'Data sheet'!$B:$C,2,0),"")</f>
        <v/>
      </c>
    </row>
    <row r="172" spans="6:6" x14ac:dyDescent="0.25">
      <c r="F172" s="12" t="str">
        <f>IFERROR(VLOOKUP(E172,'Data sheet'!$B:$C,2,0),"")</f>
        <v/>
      </c>
    </row>
    <row r="173" spans="6:6" x14ac:dyDescent="0.25">
      <c r="F173" s="12" t="str">
        <f>IFERROR(VLOOKUP(E173,'Data sheet'!$B:$C,2,0),"")</f>
        <v/>
      </c>
    </row>
    <row r="174" spans="6:6" x14ac:dyDescent="0.25">
      <c r="F174" s="12" t="str">
        <f>IFERROR(VLOOKUP(E174,'Data sheet'!$B:$C,2,0),"")</f>
        <v/>
      </c>
    </row>
    <row r="175" spans="6:6" x14ac:dyDescent="0.25">
      <c r="F175" s="12" t="str">
        <f>IFERROR(VLOOKUP(E175,'Data sheet'!$B:$C,2,0),"")</f>
        <v/>
      </c>
    </row>
    <row r="176" spans="6:6" x14ac:dyDescent="0.25">
      <c r="F176" s="12" t="str">
        <f>IFERROR(VLOOKUP(E176,'Data sheet'!$B:$C,2,0),"")</f>
        <v/>
      </c>
    </row>
    <row r="177" spans="6:6" x14ac:dyDescent="0.25">
      <c r="F177" s="12" t="str">
        <f>IFERROR(VLOOKUP(E177,'Data sheet'!$B:$C,2,0),"")</f>
        <v/>
      </c>
    </row>
    <row r="178" spans="6:6" x14ac:dyDescent="0.25">
      <c r="F178" s="12" t="str">
        <f>IFERROR(VLOOKUP(E178,'Data sheet'!$B:$C,2,0),"")</f>
        <v/>
      </c>
    </row>
    <row r="179" spans="6:6" x14ac:dyDescent="0.25">
      <c r="F179" s="12" t="str">
        <f>IFERROR(VLOOKUP(E179,'Data sheet'!$B:$C,2,0),"")</f>
        <v/>
      </c>
    </row>
    <row r="180" spans="6:6" x14ac:dyDescent="0.25">
      <c r="F180" s="12" t="str">
        <f>IFERROR(VLOOKUP(E180,'Data sheet'!$B:$C,2,0),"")</f>
        <v/>
      </c>
    </row>
    <row r="181" spans="6:6" x14ac:dyDescent="0.25">
      <c r="F181" s="12" t="str">
        <f>IFERROR(VLOOKUP(E181,'Data sheet'!$B:$C,2,0),"")</f>
        <v/>
      </c>
    </row>
    <row r="182" spans="6:6" x14ac:dyDescent="0.25">
      <c r="F182" s="12" t="str">
        <f>IFERROR(VLOOKUP(E182,'Data sheet'!$B:$C,2,0),"")</f>
        <v/>
      </c>
    </row>
    <row r="183" spans="6:6" x14ac:dyDescent="0.25">
      <c r="F183" s="12" t="str">
        <f>IFERROR(VLOOKUP(E183,'Data sheet'!$B:$C,2,0),"")</f>
        <v/>
      </c>
    </row>
    <row r="184" spans="6:6" x14ac:dyDescent="0.25">
      <c r="F184" s="12" t="str">
        <f>IFERROR(VLOOKUP(E184,'Data sheet'!$B:$C,2,0),"")</f>
        <v/>
      </c>
    </row>
    <row r="185" spans="6:6" x14ac:dyDescent="0.25">
      <c r="F185" s="12" t="str">
        <f>IFERROR(VLOOKUP(E185,'Data sheet'!$B:$C,2,0),"")</f>
        <v/>
      </c>
    </row>
    <row r="186" spans="6:6" x14ac:dyDescent="0.25">
      <c r="F186" s="12" t="str">
        <f>IFERROR(VLOOKUP(E186,'Data sheet'!$B:$C,2,0),"")</f>
        <v/>
      </c>
    </row>
    <row r="187" spans="6:6" x14ac:dyDescent="0.25">
      <c r="F187" s="12" t="str">
        <f>IFERROR(VLOOKUP(E187,'Data sheet'!$B:$C,2,0),"")</f>
        <v/>
      </c>
    </row>
    <row r="188" spans="6:6" x14ac:dyDescent="0.25">
      <c r="F188" s="12" t="str">
        <f>IFERROR(VLOOKUP(E188,'Data sheet'!$B:$C,2,0),"")</f>
        <v/>
      </c>
    </row>
    <row r="189" spans="6:6" x14ac:dyDescent="0.25">
      <c r="F189" s="12" t="str">
        <f>IFERROR(VLOOKUP(E189,'Data sheet'!$B:$C,2,0),"")</f>
        <v/>
      </c>
    </row>
    <row r="190" spans="6:6" x14ac:dyDescent="0.25">
      <c r="F190" s="12" t="str">
        <f>IFERROR(VLOOKUP(E190,'Data sheet'!$B:$C,2,0),"")</f>
        <v/>
      </c>
    </row>
    <row r="191" spans="6:6" x14ac:dyDescent="0.25">
      <c r="F191" s="12" t="str">
        <f>IFERROR(VLOOKUP(E191,'Data sheet'!$B:$C,2,0),"")</f>
        <v/>
      </c>
    </row>
    <row r="192" spans="6:6" x14ac:dyDescent="0.25">
      <c r="F192" s="12" t="str">
        <f>IFERROR(VLOOKUP(E192,'Data sheet'!$B:$C,2,0),"")</f>
        <v/>
      </c>
    </row>
    <row r="193" spans="6:6" x14ac:dyDescent="0.25">
      <c r="F193" s="12" t="str">
        <f>IFERROR(VLOOKUP(E193,'Data sheet'!$B:$C,2,0),"")</f>
        <v/>
      </c>
    </row>
    <row r="194" spans="6:6" x14ac:dyDescent="0.25">
      <c r="F194" s="12" t="str">
        <f>IFERROR(VLOOKUP(E194,'Data sheet'!$B:$C,2,0),"")</f>
        <v/>
      </c>
    </row>
    <row r="195" spans="6:6" x14ac:dyDescent="0.25">
      <c r="F195" s="12" t="str">
        <f>IFERROR(VLOOKUP(E195,'Data sheet'!$B:$C,2,0),"")</f>
        <v/>
      </c>
    </row>
    <row r="196" spans="6:6" x14ac:dyDescent="0.25">
      <c r="F196" s="12" t="str">
        <f>IFERROR(VLOOKUP(E196,'Data sheet'!$B:$C,2,0),"")</f>
        <v/>
      </c>
    </row>
    <row r="197" spans="6:6" x14ac:dyDescent="0.25">
      <c r="F197" s="12" t="str">
        <f>IFERROR(VLOOKUP(E197,'Data sheet'!$B:$C,2,0),"")</f>
        <v/>
      </c>
    </row>
    <row r="198" spans="6:6" x14ac:dyDescent="0.25">
      <c r="F198" s="12" t="str">
        <f>IFERROR(VLOOKUP(E198,'Data sheet'!$B:$C,2,0),"")</f>
        <v/>
      </c>
    </row>
    <row r="199" spans="6:6" x14ac:dyDescent="0.25">
      <c r="F199" s="12" t="str">
        <f>IFERROR(VLOOKUP(E199,'Data sheet'!$B:$C,2,0),"")</f>
        <v/>
      </c>
    </row>
    <row r="200" spans="6:6" x14ac:dyDescent="0.25">
      <c r="F200" s="12" t="str">
        <f>IFERROR(VLOOKUP(E200,'Data sheet'!$B:$C,2,0),"")</f>
        <v/>
      </c>
    </row>
    <row r="201" spans="6:6" x14ac:dyDescent="0.25">
      <c r="F201" s="12" t="str">
        <f>IFERROR(VLOOKUP(E201,'Data sheet'!$B:$C,2,0),"")</f>
        <v/>
      </c>
    </row>
    <row r="202" spans="6:6" x14ac:dyDescent="0.25">
      <c r="F202" s="12" t="str">
        <f>IFERROR(VLOOKUP(E202,'Data sheet'!$B:$C,2,0),"")</f>
        <v/>
      </c>
    </row>
    <row r="203" spans="6:6" x14ac:dyDescent="0.25">
      <c r="F203" s="12" t="str">
        <f>IFERROR(VLOOKUP(E203,'Data sheet'!$B:$C,2,0),"")</f>
        <v/>
      </c>
    </row>
    <row r="204" spans="6:6" x14ac:dyDescent="0.25">
      <c r="F204" s="12" t="str">
        <f>IFERROR(VLOOKUP(E204,'Data sheet'!$B:$C,2,0),"")</f>
        <v/>
      </c>
    </row>
    <row r="205" spans="6:6" x14ac:dyDescent="0.25">
      <c r="F205" s="12" t="str">
        <f>IFERROR(VLOOKUP(E205,'Data sheet'!$B:$C,2,0),"")</f>
        <v/>
      </c>
    </row>
    <row r="206" spans="6:6" x14ac:dyDescent="0.25">
      <c r="F206" s="12" t="str">
        <f>IFERROR(VLOOKUP(E206,'Data sheet'!$B:$C,2,0),"")</f>
        <v/>
      </c>
    </row>
    <row r="207" spans="6:6" x14ac:dyDescent="0.25">
      <c r="F207" s="12" t="str">
        <f>IFERROR(VLOOKUP(E207,'Data sheet'!$B:$C,2,0),"")</f>
        <v/>
      </c>
    </row>
    <row r="208" spans="6:6" x14ac:dyDescent="0.25">
      <c r="F208" s="12" t="str">
        <f>IFERROR(VLOOKUP(E208,'Data sheet'!$B:$C,2,0),"")</f>
        <v/>
      </c>
    </row>
    <row r="209" spans="6:6" x14ac:dyDescent="0.25">
      <c r="F209" s="12" t="str">
        <f>IFERROR(VLOOKUP(E209,'Data sheet'!$B:$C,2,0),"")</f>
        <v/>
      </c>
    </row>
    <row r="210" spans="6:6" x14ac:dyDescent="0.25">
      <c r="F210" s="12" t="str">
        <f>IFERROR(VLOOKUP(E210,'Data sheet'!$B:$C,2,0),"")</f>
        <v/>
      </c>
    </row>
    <row r="211" spans="6:6" x14ac:dyDescent="0.25">
      <c r="F211" s="12" t="str">
        <f>IFERROR(VLOOKUP(E211,'Data sheet'!$B:$C,2,0),"")</f>
        <v/>
      </c>
    </row>
    <row r="212" spans="6:6" x14ac:dyDescent="0.25">
      <c r="F212" s="12" t="str">
        <f>IFERROR(VLOOKUP(E212,'Data sheet'!$B:$C,2,0),"")</f>
        <v/>
      </c>
    </row>
    <row r="213" spans="6:6" x14ac:dyDescent="0.25">
      <c r="F213" s="12" t="str">
        <f>IFERROR(VLOOKUP(E213,'Data sheet'!$B:$C,2,0),"")</f>
        <v/>
      </c>
    </row>
    <row r="214" spans="6:6" x14ac:dyDescent="0.25">
      <c r="F214" s="12" t="str">
        <f>IFERROR(VLOOKUP(E214,'Data sheet'!$B:$C,2,0),"")</f>
        <v/>
      </c>
    </row>
    <row r="215" spans="6:6" x14ac:dyDescent="0.25">
      <c r="F215" s="12" t="str">
        <f>IFERROR(VLOOKUP(E215,'Data sheet'!$B:$C,2,0),"")</f>
        <v/>
      </c>
    </row>
    <row r="216" spans="6:6" x14ac:dyDescent="0.25">
      <c r="F216" s="12" t="str">
        <f>IFERROR(VLOOKUP(E216,'Data sheet'!$B:$C,2,0),"")</f>
        <v/>
      </c>
    </row>
    <row r="217" spans="6:6" x14ac:dyDescent="0.25">
      <c r="F217" s="12" t="str">
        <f>IFERROR(VLOOKUP(E217,'Data sheet'!$B:$C,2,0),"")</f>
        <v/>
      </c>
    </row>
    <row r="218" spans="6:6" x14ac:dyDescent="0.25">
      <c r="F218" s="12" t="str">
        <f>IFERROR(VLOOKUP(E218,'Data sheet'!$B:$C,2,0),"")</f>
        <v/>
      </c>
    </row>
    <row r="219" spans="6:6" x14ac:dyDescent="0.25">
      <c r="F219" s="12" t="str">
        <f>IFERROR(VLOOKUP(E219,'Data sheet'!$B:$C,2,0),"")</f>
        <v/>
      </c>
    </row>
    <row r="220" spans="6:6" x14ac:dyDescent="0.25">
      <c r="F220" s="12" t="str">
        <f>IFERROR(VLOOKUP(E220,'Data sheet'!$B:$C,2,0),"")</f>
        <v/>
      </c>
    </row>
    <row r="221" spans="6:6" x14ac:dyDescent="0.25">
      <c r="F221" s="12" t="str">
        <f>IFERROR(VLOOKUP(E221,'Data sheet'!$B:$C,2,0),"")</f>
        <v/>
      </c>
    </row>
    <row r="222" spans="6:6" x14ac:dyDescent="0.25">
      <c r="F222" s="12" t="str">
        <f>IFERROR(VLOOKUP(E222,'Data sheet'!$B:$C,2,0),"")</f>
        <v/>
      </c>
    </row>
    <row r="223" spans="6:6" x14ac:dyDescent="0.25">
      <c r="F223" s="12" t="str">
        <f>IFERROR(VLOOKUP(E223,'Data sheet'!$B:$C,2,0),"")</f>
        <v/>
      </c>
    </row>
    <row r="224" spans="6:6" x14ac:dyDescent="0.25">
      <c r="F224" s="12" t="str">
        <f>IFERROR(VLOOKUP(E224,'Data sheet'!$B:$C,2,0),"")</f>
        <v/>
      </c>
    </row>
    <row r="225" spans="6:6" x14ac:dyDescent="0.25">
      <c r="F225" s="12" t="str">
        <f>IFERROR(VLOOKUP(E225,'Data sheet'!$B:$C,2,0),"")</f>
        <v/>
      </c>
    </row>
    <row r="226" spans="6:6" x14ac:dyDescent="0.25">
      <c r="F226" s="12" t="str">
        <f>IFERROR(VLOOKUP(E226,'Data sheet'!$B:$C,2,0),"")</f>
        <v/>
      </c>
    </row>
    <row r="227" spans="6:6" x14ac:dyDescent="0.25">
      <c r="F227" s="12" t="str">
        <f>IFERROR(VLOOKUP(E227,'Data sheet'!$B:$C,2,0),"")</f>
        <v/>
      </c>
    </row>
    <row r="228" spans="6:6" x14ac:dyDescent="0.25">
      <c r="F228" s="12" t="str">
        <f>IFERROR(VLOOKUP(E228,'Data sheet'!$B:$C,2,0),"")</f>
        <v/>
      </c>
    </row>
    <row r="229" spans="6:6" x14ac:dyDescent="0.25">
      <c r="F229" s="12" t="str">
        <f>IFERROR(VLOOKUP(E229,'Data sheet'!$B:$C,2,0),"")</f>
        <v/>
      </c>
    </row>
    <row r="230" spans="6:6" x14ac:dyDescent="0.25">
      <c r="F230" s="12" t="str">
        <f>IFERROR(VLOOKUP(E230,'Data sheet'!$B:$C,2,0),"")</f>
        <v/>
      </c>
    </row>
    <row r="231" spans="6:6" x14ac:dyDescent="0.25">
      <c r="F231" s="12" t="str">
        <f>IFERROR(VLOOKUP(E231,'Data sheet'!$B:$C,2,0),"")</f>
        <v/>
      </c>
    </row>
    <row r="232" spans="6:6" x14ac:dyDescent="0.25">
      <c r="F232" s="12" t="str">
        <f>IFERROR(VLOOKUP(E232,'Data sheet'!$B:$C,2,0),"")</f>
        <v/>
      </c>
    </row>
    <row r="233" spans="6:6" x14ac:dyDescent="0.25">
      <c r="F233" s="12" t="str">
        <f>IFERROR(VLOOKUP(E233,'Data sheet'!$B:$C,2,0),"")</f>
        <v/>
      </c>
    </row>
    <row r="234" spans="6:6" x14ac:dyDescent="0.25">
      <c r="F234" s="12" t="str">
        <f>IFERROR(VLOOKUP(E234,'Data sheet'!$B:$C,2,0),"")</f>
        <v/>
      </c>
    </row>
    <row r="235" spans="6:6" x14ac:dyDescent="0.25">
      <c r="F235" s="12" t="str">
        <f>IFERROR(VLOOKUP(E235,'Data sheet'!$B:$C,2,0),"")</f>
        <v/>
      </c>
    </row>
    <row r="236" spans="6:6" x14ac:dyDescent="0.25">
      <c r="F236" s="12" t="str">
        <f>IFERROR(VLOOKUP(E236,'Data sheet'!$B:$C,2,0),"")</f>
        <v/>
      </c>
    </row>
    <row r="237" spans="6:6" x14ac:dyDescent="0.25">
      <c r="F237" s="12" t="str">
        <f>IFERROR(VLOOKUP(E237,'Data sheet'!$B:$C,2,0),"")</f>
        <v/>
      </c>
    </row>
    <row r="238" spans="6:6" x14ac:dyDescent="0.25">
      <c r="F238" s="12" t="str">
        <f>IFERROR(VLOOKUP(E238,'Data sheet'!$B:$C,2,0),"")</f>
        <v/>
      </c>
    </row>
    <row r="239" spans="6:6" x14ac:dyDescent="0.25">
      <c r="F239" s="12" t="str">
        <f>IFERROR(VLOOKUP(E239,'Data sheet'!$B:$C,2,0),"")</f>
        <v/>
      </c>
    </row>
    <row r="240" spans="6:6" x14ac:dyDescent="0.25">
      <c r="F240" s="12" t="str">
        <f>IFERROR(VLOOKUP(E240,'Data sheet'!$B:$C,2,0),"")</f>
        <v/>
      </c>
    </row>
    <row r="241" spans="6:6" x14ac:dyDescent="0.25">
      <c r="F241" s="12" t="str">
        <f>IFERROR(VLOOKUP(E241,'Data sheet'!$B:$C,2,0),"")</f>
        <v/>
      </c>
    </row>
    <row r="242" spans="6:6" x14ac:dyDescent="0.25">
      <c r="F242" s="12" t="str">
        <f>IFERROR(VLOOKUP(E242,'Data sheet'!$B:$C,2,0),"")</f>
        <v/>
      </c>
    </row>
    <row r="243" spans="6:6" x14ac:dyDescent="0.25">
      <c r="F243" s="12" t="str">
        <f>IFERROR(VLOOKUP(E243,'Data sheet'!$B:$C,2,0),"")</f>
        <v/>
      </c>
    </row>
    <row r="244" spans="6:6" x14ac:dyDescent="0.25">
      <c r="F244" s="12" t="str">
        <f>IFERROR(VLOOKUP(E244,'Data sheet'!$B:$C,2,0),"")</f>
        <v/>
      </c>
    </row>
    <row r="245" spans="6:6" x14ac:dyDescent="0.25">
      <c r="F245" s="12" t="str">
        <f>IFERROR(VLOOKUP(E245,'Data sheet'!$B:$C,2,0),"")</f>
        <v/>
      </c>
    </row>
    <row r="246" spans="6:6" x14ac:dyDescent="0.25">
      <c r="F246" s="12" t="str">
        <f>IFERROR(VLOOKUP(E246,'Data sheet'!$B:$C,2,0),"")</f>
        <v/>
      </c>
    </row>
    <row r="247" spans="6:6" x14ac:dyDescent="0.25">
      <c r="F247" s="12" t="str">
        <f>IFERROR(VLOOKUP(E247,'Data sheet'!$B:$C,2,0),"")</f>
        <v/>
      </c>
    </row>
    <row r="248" spans="6:6" x14ac:dyDescent="0.25">
      <c r="F248" s="12" t="str">
        <f>IFERROR(VLOOKUP(E248,'Data sheet'!$B:$C,2,0),"")</f>
        <v/>
      </c>
    </row>
    <row r="249" spans="6:6" x14ac:dyDescent="0.25">
      <c r="F249" s="12" t="str">
        <f>IFERROR(VLOOKUP(E249,'Data sheet'!$B:$C,2,0),"")</f>
        <v/>
      </c>
    </row>
    <row r="250" spans="6:6" x14ac:dyDescent="0.25">
      <c r="F250" s="12" t="str">
        <f>IFERROR(VLOOKUP(E250,'Data sheet'!$B:$C,2,0),"")</f>
        <v/>
      </c>
    </row>
    <row r="251" spans="6:6" x14ac:dyDescent="0.25">
      <c r="F251" s="12" t="str">
        <f>IFERROR(VLOOKUP(E251,'Data sheet'!$B:$C,2,0),"")</f>
        <v/>
      </c>
    </row>
    <row r="252" spans="6:6" x14ac:dyDescent="0.25">
      <c r="F252" s="12" t="str">
        <f>IFERROR(VLOOKUP(E252,'Data sheet'!$B:$C,2,0),"")</f>
        <v/>
      </c>
    </row>
    <row r="253" spans="6:6" x14ac:dyDescent="0.25">
      <c r="F253" s="12" t="str">
        <f>IFERROR(VLOOKUP(E253,'Data sheet'!$B:$C,2,0),"")</f>
        <v/>
      </c>
    </row>
    <row r="254" spans="6:6" x14ac:dyDescent="0.25">
      <c r="F254" s="12" t="str">
        <f>IFERROR(VLOOKUP(E254,'Data sheet'!$B:$C,2,0),"")</f>
        <v/>
      </c>
    </row>
    <row r="255" spans="6:6" x14ac:dyDescent="0.25">
      <c r="F255" s="12" t="str">
        <f>IFERROR(VLOOKUP(E255,'Data sheet'!$B:$C,2,0),"")</f>
        <v/>
      </c>
    </row>
    <row r="256" spans="6:6" x14ac:dyDescent="0.25">
      <c r="F256" s="12" t="str">
        <f>IFERROR(VLOOKUP(E256,'Data sheet'!$B:$C,2,0),"")</f>
        <v/>
      </c>
    </row>
    <row r="257" spans="6:6" x14ac:dyDescent="0.25">
      <c r="F257" s="12" t="str">
        <f>IFERROR(VLOOKUP(E257,'Data sheet'!$B:$C,2,0),"")</f>
        <v/>
      </c>
    </row>
    <row r="258" spans="6:6" x14ac:dyDescent="0.25">
      <c r="F258" s="12" t="str">
        <f>IFERROR(VLOOKUP(E258,'Data sheet'!$B:$C,2,0),"")</f>
        <v/>
      </c>
    </row>
    <row r="259" spans="6:6" x14ac:dyDescent="0.25">
      <c r="F259" s="12" t="str">
        <f>IFERROR(VLOOKUP(E259,'Data sheet'!$B:$C,2,0),"")</f>
        <v/>
      </c>
    </row>
    <row r="260" spans="6:6" x14ac:dyDescent="0.25">
      <c r="F260" s="12" t="str">
        <f>IFERROR(VLOOKUP(E260,'Data sheet'!$B:$C,2,0),"")</f>
        <v/>
      </c>
    </row>
    <row r="261" spans="6:6" x14ac:dyDescent="0.25">
      <c r="F261" s="12" t="str">
        <f>IFERROR(VLOOKUP(E261,'Data sheet'!$B:$C,2,0),"")</f>
        <v/>
      </c>
    </row>
    <row r="262" spans="6:6" x14ac:dyDescent="0.25">
      <c r="F262" s="12" t="str">
        <f>IFERROR(VLOOKUP(E262,'Data sheet'!$B:$C,2,0),"")</f>
        <v/>
      </c>
    </row>
    <row r="263" spans="6:6" x14ac:dyDescent="0.25">
      <c r="F263" s="12" t="str">
        <f>IFERROR(VLOOKUP(E263,'Data sheet'!$B:$C,2,0),"")</f>
        <v/>
      </c>
    </row>
    <row r="264" spans="6:6" x14ac:dyDescent="0.25">
      <c r="F264" s="12" t="str">
        <f>IFERROR(VLOOKUP(E264,'Data sheet'!$B:$C,2,0),"")</f>
        <v/>
      </c>
    </row>
    <row r="265" spans="6:6" x14ac:dyDescent="0.25">
      <c r="F265" s="12" t="str">
        <f>IFERROR(VLOOKUP(E265,'Data sheet'!$B:$C,2,0),"")</f>
        <v/>
      </c>
    </row>
    <row r="266" spans="6:6" x14ac:dyDescent="0.25">
      <c r="F266" s="12" t="str">
        <f>IFERROR(VLOOKUP(E266,'Data sheet'!$B:$C,2,0),"")</f>
        <v/>
      </c>
    </row>
    <row r="267" spans="6:6" x14ac:dyDescent="0.25">
      <c r="F267" s="12" t="str">
        <f>IFERROR(VLOOKUP(E267,'Data sheet'!$B:$C,2,0),"")</f>
        <v/>
      </c>
    </row>
    <row r="268" spans="6:6" x14ac:dyDescent="0.25">
      <c r="F268" s="12" t="str">
        <f>IFERROR(VLOOKUP(E268,'Data sheet'!$B:$C,2,0),"")</f>
        <v/>
      </c>
    </row>
    <row r="269" spans="6:6" x14ac:dyDescent="0.25">
      <c r="F269" s="12" t="str">
        <f>IFERROR(VLOOKUP(E269,'Data sheet'!$B:$C,2,0),"")</f>
        <v/>
      </c>
    </row>
    <row r="270" spans="6:6" x14ac:dyDescent="0.25">
      <c r="F270" s="12" t="str">
        <f>IFERROR(VLOOKUP(E270,'Data sheet'!$B:$C,2,0),"")</f>
        <v/>
      </c>
    </row>
    <row r="271" spans="6:6" x14ac:dyDescent="0.25">
      <c r="F271" s="12" t="str">
        <f>IFERROR(VLOOKUP(E271,'Data sheet'!$B:$C,2,0),"")</f>
        <v/>
      </c>
    </row>
    <row r="272" spans="6:6" x14ac:dyDescent="0.25">
      <c r="F272" s="12" t="str">
        <f>IFERROR(VLOOKUP(E272,'Data sheet'!$B:$C,2,0),"")</f>
        <v/>
      </c>
    </row>
    <row r="273" spans="6:6" x14ac:dyDescent="0.25">
      <c r="F273" s="12" t="str">
        <f>IFERROR(VLOOKUP(E273,'Data sheet'!$B:$C,2,0),"")</f>
        <v/>
      </c>
    </row>
    <row r="274" spans="6:6" x14ac:dyDescent="0.25">
      <c r="F274" s="12" t="str">
        <f>IFERROR(VLOOKUP(E274,'Data sheet'!$B:$C,2,0),"")</f>
        <v/>
      </c>
    </row>
    <row r="275" spans="6:6" x14ac:dyDescent="0.25">
      <c r="F275" s="12" t="str">
        <f>IFERROR(VLOOKUP(E275,'Data sheet'!$B:$C,2,0),"")</f>
        <v/>
      </c>
    </row>
    <row r="276" spans="6:6" x14ac:dyDescent="0.25">
      <c r="F276" s="12" t="str">
        <f>IFERROR(VLOOKUP(E276,'Data sheet'!$B:$C,2,0),"")</f>
        <v/>
      </c>
    </row>
    <row r="277" spans="6:6" x14ac:dyDescent="0.25">
      <c r="F277" s="12" t="str">
        <f>IFERROR(VLOOKUP(E277,'Data sheet'!$B:$C,2,0),"")</f>
        <v/>
      </c>
    </row>
    <row r="278" spans="6:6" x14ac:dyDescent="0.25">
      <c r="F278" s="12" t="str">
        <f>IFERROR(VLOOKUP(E278,'Data sheet'!$B:$C,2,0),"")</f>
        <v/>
      </c>
    </row>
    <row r="279" spans="6:6" x14ac:dyDescent="0.25">
      <c r="F279" s="12" t="str">
        <f>IFERROR(VLOOKUP(E279,'Data sheet'!$B:$C,2,0),"")</f>
        <v/>
      </c>
    </row>
    <row r="280" spans="6:6" x14ac:dyDescent="0.25">
      <c r="F280" s="12" t="str">
        <f>IFERROR(VLOOKUP(E280,'Data sheet'!$B:$C,2,0),"")</f>
        <v/>
      </c>
    </row>
    <row r="281" spans="6:6" x14ac:dyDescent="0.25">
      <c r="F281" s="12" t="str">
        <f>IFERROR(VLOOKUP(E281,'Data sheet'!$B:$C,2,0),"")</f>
        <v/>
      </c>
    </row>
    <row r="282" spans="6:6" x14ac:dyDescent="0.25">
      <c r="F282" s="12" t="str">
        <f>IFERROR(VLOOKUP(E282,'Data sheet'!$B:$C,2,0),"")</f>
        <v/>
      </c>
    </row>
    <row r="283" spans="6:6" x14ac:dyDescent="0.25">
      <c r="F283" s="12" t="str">
        <f>IFERROR(VLOOKUP(E283,'Data sheet'!$B:$C,2,0),"")</f>
        <v/>
      </c>
    </row>
    <row r="284" spans="6:6" x14ac:dyDescent="0.25">
      <c r="F284" s="12" t="str">
        <f>IFERROR(VLOOKUP(E284,'Data sheet'!$B:$C,2,0),"")</f>
        <v/>
      </c>
    </row>
    <row r="285" spans="6:6" x14ac:dyDescent="0.25">
      <c r="F285" s="12" t="str">
        <f>IFERROR(VLOOKUP(E285,'Data sheet'!$B:$C,2,0),"")</f>
        <v/>
      </c>
    </row>
    <row r="286" spans="6:6" x14ac:dyDescent="0.25">
      <c r="F286" s="12" t="str">
        <f>IFERROR(VLOOKUP(E286,'Data sheet'!$B:$C,2,0),"")</f>
        <v/>
      </c>
    </row>
    <row r="287" spans="6:6" x14ac:dyDescent="0.25">
      <c r="F287" s="12" t="str">
        <f>IFERROR(VLOOKUP(E287,'Data sheet'!$B:$C,2,0),"")</f>
        <v/>
      </c>
    </row>
    <row r="288" spans="6:6" x14ac:dyDescent="0.25">
      <c r="F288" s="12" t="str">
        <f>IFERROR(VLOOKUP(E288,'Data sheet'!$B:$C,2,0),"")</f>
        <v/>
      </c>
    </row>
    <row r="289" spans="6:6" x14ac:dyDescent="0.25">
      <c r="F289" s="12" t="str">
        <f>IFERROR(VLOOKUP(E289,'Data sheet'!$B:$C,2,0),"")</f>
        <v/>
      </c>
    </row>
    <row r="290" spans="6:6" x14ac:dyDescent="0.25">
      <c r="F290" s="12" t="str">
        <f>IFERROR(VLOOKUP(E290,'Data sheet'!$B:$C,2,0),"")</f>
        <v/>
      </c>
    </row>
    <row r="291" spans="6:6" x14ac:dyDescent="0.25">
      <c r="F291" s="12" t="str">
        <f>IFERROR(VLOOKUP(E291,'Data sheet'!$B:$C,2,0),"")</f>
        <v/>
      </c>
    </row>
    <row r="292" spans="6:6" x14ac:dyDescent="0.25">
      <c r="F292" s="12" t="str">
        <f>IFERROR(VLOOKUP(E292,'Data sheet'!$B:$C,2,0),"")</f>
        <v/>
      </c>
    </row>
    <row r="293" spans="6:6" x14ac:dyDescent="0.25">
      <c r="F293" s="12" t="str">
        <f>IFERROR(VLOOKUP(E293,'Data sheet'!$B:$C,2,0),"")</f>
        <v/>
      </c>
    </row>
    <row r="294" spans="6:6" x14ac:dyDescent="0.25">
      <c r="F294" s="12" t="str">
        <f>IFERROR(VLOOKUP(E294,'Data sheet'!$B:$C,2,0),"")</f>
        <v/>
      </c>
    </row>
    <row r="295" spans="6:6" x14ac:dyDescent="0.25">
      <c r="F295" s="12" t="str">
        <f>IFERROR(VLOOKUP(E295,'Data sheet'!$B:$C,2,0),"")</f>
        <v/>
      </c>
    </row>
    <row r="296" spans="6:6" x14ac:dyDescent="0.25">
      <c r="F296" s="12" t="str">
        <f>IFERROR(VLOOKUP(E296,'Data sheet'!$B:$C,2,0),"")</f>
        <v/>
      </c>
    </row>
    <row r="297" spans="6:6" x14ac:dyDescent="0.25">
      <c r="F297" s="12" t="str">
        <f>IFERROR(VLOOKUP(E297,'Data sheet'!$B:$C,2,0),"")</f>
        <v/>
      </c>
    </row>
    <row r="298" spans="6:6" x14ac:dyDescent="0.25">
      <c r="F298" s="12" t="str">
        <f>IFERROR(VLOOKUP(E298,'Data sheet'!$B:$C,2,0),"")</f>
        <v/>
      </c>
    </row>
    <row r="299" spans="6:6" x14ac:dyDescent="0.25">
      <c r="F299" s="12" t="str">
        <f>IFERROR(VLOOKUP(E299,'Data sheet'!$B:$C,2,0),"")</f>
        <v/>
      </c>
    </row>
    <row r="300" spans="6:6" x14ac:dyDescent="0.25">
      <c r="F300" s="12" t="str">
        <f>IFERROR(VLOOKUP(E300,'Data sheet'!$B:$C,2,0),"")</f>
        <v/>
      </c>
    </row>
    <row r="301" spans="6:6" x14ac:dyDescent="0.25">
      <c r="F301" s="12" t="str">
        <f>IFERROR(VLOOKUP(E301,'Data sheet'!$B:$C,2,0),"")</f>
        <v/>
      </c>
    </row>
    <row r="302" spans="6:6" x14ac:dyDescent="0.25">
      <c r="F302" s="12" t="str">
        <f>IFERROR(VLOOKUP(E302,'Data sheet'!$B:$C,2,0),"")</f>
        <v/>
      </c>
    </row>
    <row r="303" spans="6:6" x14ac:dyDescent="0.25">
      <c r="F303" s="12" t="str">
        <f>IFERROR(VLOOKUP(E303,'Data sheet'!$B:$C,2,0),"")</f>
        <v/>
      </c>
    </row>
    <row r="304" spans="6:6" x14ac:dyDescent="0.25">
      <c r="F304" s="12" t="str">
        <f>IFERROR(VLOOKUP(E304,'Data sheet'!$B:$C,2,0),"")</f>
        <v/>
      </c>
    </row>
    <row r="305" spans="6:6" x14ac:dyDescent="0.25">
      <c r="F305" s="12" t="str">
        <f>IFERROR(VLOOKUP(E305,'Data sheet'!$B:$C,2,0),"")</f>
        <v/>
      </c>
    </row>
    <row r="306" spans="6:6" x14ac:dyDescent="0.25">
      <c r="F306" s="12" t="str">
        <f>IFERROR(VLOOKUP(E306,'Data sheet'!$B:$C,2,0),"")</f>
        <v/>
      </c>
    </row>
    <row r="307" spans="6:6" x14ac:dyDescent="0.25">
      <c r="F307" s="12" t="str">
        <f>IFERROR(VLOOKUP(E307,'Data sheet'!$B:$C,2,0),"")</f>
        <v/>
      </c>
    </row>
    <row r="308" spans="6:6" x14ac:dyDescent="0.25">
      <c r="F308" s="12" t="str">
        <f>IFERROR(VLOOKUP(E308,'Data sheet'!$B:$C,2,0),"")</f>
        <v/>
      </c>
    </row>
    <row r="309" spans="6:6" x14ac:dyDescent="0.25">
      <c r="F309" s="12" t="str">
        <f>IFERROR(VLOOKUP(E309,'Data sheet'!$B:$C,2,0),"")</f>
        <v/>
      </c>
    </row>
    <row r="310" spans="6:6" x14ac:dyDescent="0.25">
      <c r="F310" s="12" t="str">
        <f>IFERROR(VLOOKUP(E310,'Data sheet'!$B:$C,2,0),"")</f>
        <v/>
      </c>
    </row>
    <row r="311" spans="6:6" x14ac:dyDescent="0.25">
      <c r="F311" s="12" t="str">
        <f>IFERROR(VLOOKUP(E311,'Data sheet'!$B:$C,2,0),"")</f>
        <v/>
      </c>
    </row>
    <row r="312" spans="6:6" x14ac:dyDescent="0.25">
      <c r="F312" s="12" t="str">
        <f>IFERROR(VLOOKUP(E312,'Data sheet'!$B:$C,2,0),"")</f>
        <v/>
      </c>
    </row>
    <row r="313" spans="6:6" x14ac:dyDescent="0.25">
      <c r="F313" s="12" t="str">
        <f>IFERROR(VLOOKUP(E313,'Data sheet'!$B:$C,2,0),"")</f>
        <v/>
      </c>
    </row>
    <row r="314" spans="6:6" x14ac:dyDescent="0.25">
      <c r="F314" s="12" t="str">
        <f>IFERROR(VLOOKUP(E314,'Data sheet'!$B:$C,2,0),"")</f>
        <v/>
      </c>
    </row>
    <row r="315" spans="6:6" x14ac:dyDescent="0.25">
      <c r="F315" s="12" t="str">
        <f>IFERROR(VLOOKUP(E315,'Data sheet'!$B:$C,2,0),"")</f>
        <v/>
      </c>
    </row>
    <row r="316" spans="6:6" x14ac:dyDescent="0.25">
      <c r="F316" s="12" t="str">
        <f>IFERROR(VLOOKUP(E316,'Data sheet'!$B:$C,2,0),"")</f>
        <v/>
      </c>
    </row>
    <row r="317" spans="6:6" x14ac:dyDescent="0.25">
      <c r="F317" s="12" t="str">
        <f>IFERROR(VLOOKUP(E317,'Data sheet'!$B:$C,2,0),"")</f>
        <v/>
      </c>
    </row>
    <row r="318" spans="6:6" x14ac:dyDescent="0.25">
      <c r="F318" s="12" t="str">
        <f>IFERROR(VLOOKUP(E318,'Data sheet'!$B:$C,2,0),"")</f>
        <v/>
      </c>
    </row>
    <row r="319" spans="6:6" x14ac:dyDescent="0.25">
      <c r="F319" s="12" t="str">
        <f>IFERROR(VLOOKUP(E319,'Data sheet'!$B:$C,2,0),"")</f>
        <v/>
      </c>
    </row>
    <row r="320" spans="6:6" x14ac:dyDescent="0.25">
      <c r="F320" s="12" t="str">
        <f>IFERROR(VLOOKUP(E320,'Data sheet'!$B:$C,2,0),"")</f>
        <v/>
      </c>
    </row>
    <row r="321" spans="6:6" x14ac:dyDescent="0.25">
      <c r="F321" s="12" t="str">
        <f>IFERROR(VLOOKUP(E321,'Data sheet'!$B:$C,2,0),"")</f>
        <v/>
      </c>
    </row>
    <row r="322" spans="6:6" x14ac:dyDescent="0.25">
      <c r="F322" s="12" t="str">
        <f>IFERROR(VLOOKUP(E322,'Data sheet'!$B:$C,2,0),"")</f>
        <v/>
      </c>
    </row>
    <row r="323" spans="6:6" x14ac:dyDescent="0.25">
      <c r="F323" s="12" t="str">
        <f>IFERROR(VLOOKUP(E323,'Data sheet'!$B:$C,2,0),"")</f>
        <v/>
      </c>
    </row>
    <row r="324" spans="6:6" x14ac:dyDescent="0.25">
      <c r="F324" s="12" t="str">
        <f>IFERROR(VLOOKUP(E324,'Data sheet'!$B:$C,2,0),"")</f>
        <v/>
      </c>
    </row>
    <row r="325" spans="6:6" x14ac:dyDescent="0.25">
      <c r="F325" s="12" t="str">
        <f>IFERROR(VLOOKUP(E325,'Data sheet'!$B:$C,2,0),"")</f>
        <v/>
      </c>
    </row>
    <row r="326" spans="6:6" x14ac:dyDescent="0.25">
      <c r="F326" s="12" t="str">
        <f>IFERROR(VLOOKUP(E326,'Data sheet'!$B:$C,2,0),"")</f>
        <v/>
      </c>
    </row>
    <row r="327" spans="6:6" x14ac:dyDescent="0.25">
      <c r="F327" s="12" t="str">
        <f>IFERROR(VLOOKUP(E327,'Data sheet'!$B:$C,2,0),"")</f>
        <v/>
      </c>
    </row>
    <row r="328" spans="6:6" x14ac:dyDescent="0.25">
      <c r="F328" s="12" t="str">
        <f>IFERROR(VLOOKUP(E328,'Data sheet'!$B:$C,2,0),"")</f>
        <v/>
      </c>
    </row>
    <row r="329" spans="6:6" x14ac:dyDescent="0.25">
      <c r="F329" s="12" t="str">
        <f>IFERROR(VLOOKUP(E329,'Data sheet'!$B:$C,2,0),"")</f>
        <v/>
      </c>
    </row>
    <row r="330" spans="6:6" x14ac:dyDescent="0.25">
      <c r="F330" s="12" t="str">
        <f>IFERROR(VLOOKUP(E330,'Data sheet'!$B:$C,2,0),"")</f>
        <v/>
      </c>
    </row>
    <row r="331" spans="6:6" x14ac:dyDescent="0.25">
      <c r="F331" s="12" t="str">
        <f>IFERROR(VLOOKUP(E331,'Data sheet'!$B:$C,2,0),"")</f>
        <v/>
      </c>
    </row>
    <row r="332" spans="6:6" x14ac:dyDescent="0.25">
      <c r="F332" s="12" t="str">
        <f>IFERROR(VLOOKUP(E332,'Data sheet'!$B:$C,2,0),"")</f>
        <v/>
      </c>
    </row>
    <row r="333" spans="6:6" x14ac:dyDescent="0.25">
      <c r="F333" s="12" t="str">
        <f>IFERROR(VLOOKUP(E333,'Data sheet'!$B:$C,2,0),"")</f>
        <v/>
      </c>
    </row>
    <row r="334" spans="6:6" x14ac:dyDescent="0.25">
      <c r="F334" s="12" t="str">
        <f>IFERROR(VLOOKUP(E334,'Data sheet'!$B:$C,2,0),"")</f>
        <v/>
      </c>
    </row>
    <row r="335" spans="6:6" x14ac:dyDescent="0.25">
      <c r="F335" s="12" t="str">
        <f>IFERROR(VLOOKUP(E335,'Data sheet'!$B:$C,2,0),"")</f>
        <v/>
      </c>
    </row>
    <row r="336" spans="6:6" x14ac:dyDescent="0.25">
      <c r="F336" s="12" t="str">
        <f>IFERROR(VLOOKUP(E336,'Data sheet'!$B:$C,2,0),"")</f>
        <v/>
      </c>
    </row>
    <row r="337" spans="6:6" x14ac:dyDescent="0.25">
      <c r="F337" s="12" t="str">
        <f>IFERROR(VLOOKUP(E337,'Data sheet'!$B:$C,2,0),"")</f>
        <v/>
      </c>
    </row>
    <row r="338" spans="6:6" x14ac:dyDescent="0.25">
      <c r="F338" s="12" t="str">
        <f>IFERROR(VLOOKUP(E338,'Data sheet'!$B:$C,2,0),"")</f>
        <v/>
      </c>
    </row>
    <row r="339" spans="6:6" x14ac:dyDescent="0.25">
      <c r="F339" s="12" t="str">
        <f>IFERROR(VLOOKUP(E339,'Data sheet'!$B:$C,2,0),"")</f>
        <v/>
      </c>
    </row>
    <row r="340" spans="6:6" x14ac:dyDescent="0.25">
      <c r="F340" s="12" t="str">
        <f>IFERROR(VLOOKUP(E340,'Data sheet'!$B:$C,2,0),"")</f>
        <v/>
      </c>
    </row>
    <row r="341" spans="6:6" x14ac:dyDescent="0.25">
      <c r="F341" s="12" t="str">
        <f>IFERROR(VLOOKUP(E341,'Data sheet'!$B:$C,2,0),"")</f>
        <v/>
      </c>
    </row>
    <row r="342" spans="6:6" x14ac:dyDescent="0.25">
      <c r="F342" s="12" t="str">
        <f>IFERROR(VLOOKUP(E342,'Data sheet'!$B:$C,2,0),"")</f>
        <v/>
      </c>
    </row>
    <row r="343" spans="6:6" x14ac:dyDescent="0.25">
      <c r="F343" s="12" t="str">
        <f>IFERROR(VLOOKUP(E343,'Data sheet'!$B:$C,2,0),"")</f>
        <v/>
      </c>
    </row>
    <row r="344" spans="6:6" x14ac:dyDescent="0.25">
      <c r="F344" s="12" t="str">
        <f>IFERROR(VLOOKUP(E344,'Data sheet'!$B:$C,2,0),"")</f>
        <v/>
      </c>
    </row>
    <row r="345" spans="6:6" x14ac:dyDescent="0.25">
      <c r="F345" s="12" t="str">
        <f>IFERROR(VLOOKUP(E345,'Data sheet'!$B:$C,2,0),"")</f>
        <v/>
      </c>
    </row>
    <row r="346" spans="6:6" x14ac:dyDescent="0.25">
      <c r="F346" s="12" t="str">
        <f>IFERROR(VLOOKUP(E346,'Data sheet'!$B:$C,2,0),"")</f>
        <v/>
      </c>
    </row>
    <row r="347" spans="6:6" x14ac:dyDescent="0.25">
      <c r="F347" s="12" t="str">
        <f>IFERROR(VLOOKUP(E347,'Data sheet'!$B:$C,2,0),"")</f>
        <v/>
      </c>
    </row>
    <row r="348" spans="6:6" x14ac:dyDescent="0.25">
      <c r="F348" s="12" t="str">
        <f>IFERROR(VLOOKUP(E348,'Data sheet'!$B:$C,2,0),"")</f>
        <v/>
      </c>
    </row>
    <row r="349" spans="6:6" x14ac:dyDescent="0.25">
      <c r="F349" s="12" t="str">
        <f>IFERROR(VLOOKUP(E349,'Data sheet'!$B:$C,2,0),"")</f>
        <v/>
      </c>
    </row>
    <row r="350" spans="6:6" x14ac:dyDescent="0.25">
      <c r="F350" s="12" t="str">
        <f>IFERROR(VLOOKUP(E350,'Data sheet'!$B:$C,2,0),"")</f>
        <v/>
      </c>
    </row>
    <row r="351" spans="6:6" x14ac:dyDescent="0.25">
      <c r="F351" s="12" t="str">
        <f>IFERROR(VLOOKUP(E351,'Data sheet'!$B:$C,2,0),"")</f>
        <v/>
      </c>
    </row>
    <row r="352" spans="6:6" x14ac:dyDescent="0.25">
      <c r="F352" s="12" t="str">
        <f>IFERROR(VLOOKUP(E352,'Data sheet'!$B:$C,2,0),"")</f>
        <v/>
      </c>
    </row>
    <row r="353" spans="6:6" x14ac:dyDescent="0.25">
      <c r="F353" s="12" t="str">
        <f>IFERROR(VLOOKUP(E353,'Data sheet'!$B:$C,2,0),"")</f>
        <v/>
      </c>
    </row>
    <row r="354" spans="6:6" x14ac:dyDescent="0.25">
      <c r="F354" s="12" t="str">
        <f>IFERROR(VLOOKUP(E354,'Data sheet'!$B:$C,2,0),"")</f>
        <v/>
      </c>
    </row>
    <row r="355" spans="6:6" x14ac:dyDescent="0.25">
      <c r="F355" s="12" t="str">
        <f>IFERROR(VLOOKUP(E355,'Data sheet'!$B:$C,2,0),"")</f>
        <v/>
      </c>
    </row>
    <row r="356" spans="6:6" x14ac:dyDescent="0.25">
      <c r="F356" s="12" t="str">
        <f>IFERROR(VLOOKUP(E356,'Data sheet'!$B:$C,2,0),"")</f>
        <v/>
      </c>
    </row>
    <row r="357" spans="6:6" x14ac:dyDescent="0.25">
      <c r="F357" s="12" t="str">
        <f>IFERROR(VLOOKUP(E357,'Data sheet'!$B:$C,2,0),"")</f>
        <v/>
      </c>
    </row>
    <row r="358" spans="6:6" x14ac:dyDescent="0.25">
      <c r="F358" s="12" t="str">
        <f>IFERROR(VLOOKUP(E358,'Data sheet'!$B:$C,2,0),"")</f>
        <v/>
      </c>
    </row>
    <row r="359" spans="6:6" x14ac:dyDescent="0.25">
      <c r="F359" s="12" t="str">
        <f>IFERROR(VLOOKUP(E359,'Data sheet'!$B:$C,2,0),"")</f>
        <v/>
      </c>
    </row>
    <row r="360" spans="6:6" x14ac:dyDescent="0.25">
      <c r="F360" s="12" t="str">
        <f>IFERROR(VLOOKUP(E360,'Data sheet'!$B:$C,2,0),"")</f>
        <v/>
      </c>
    </row>
    <row r="361" spans="6:6" x14ac:dyDescent="0.25">
      <c r="F361" s="12" t="str">
        <f>IFERROR(VLOOKUP(E361,'Data sheet'!$B:$C,2,0),"")</f>
        <v/>
      </c>
    </row>
    <row r="362" spans="6:6" x14ac:dyDescent="0.25">
      <c r="F362" s="12" t="str">
        <f>IFERROR(VLOOKUP(E362,'Data sheet'!$B:$C,2,0),"")</f>
        <v/>
      </c>
    </row>
    <row r="363" spans="6:6" x14ac:dyDescent="0.25">
      <c r="F363" s="12" t="str">
        <f>IFERROR(VLOOKUP(E363,'Data sheet'!$B:$C,2,0),"")</f>
        <v/>
      </c>
    </row>
    <row r="364" spans="6:6" x14ac:dyDescent="0.25">
      <c r="F364" s="12" t="str">
        <f>IFERROR(VLOOKUP(E364,'Data sheet'!$B:$C,2,0),"")</f>
        <v/>
      </c>
    </row>
    <row r="365" spans="6:6" x14ac:dyDescent="0.25">
      <c r="F365" s="12" t="str">
        <f>IFERROR(VLOOKUP(E365,'Data sheet'!$B:$C,2,0),"")</f>
        <v/>
      </c>
    </row>
    <row r="366" spans="6:6" x14ac:dyDescent="0.25">
      <c r="F366" s="12" t="str">
        <f>IFERROR(VLOOKUP(E366,'Data sheet'!$B:$C,2,0),"")</f>
        <v/>
      </c>
    </row>
    <row r="367" spans="6:6" x14ac:dyDescent="0.25">
      <c r="F367" s="12" t="str">
        <f>IFERROR(VLOOKUP(E367,'Data sheet'!$B:$C,2,0),"")</f>
        <v/>
      </c>
    </row>
    <row r="368" spans="6:6" x14ac:dyDescent="0.25">
      <c r="F368" s="12" t="str">
        <f>IFERROR(VLOOKUP(E368,'Data sheet'!$B:$C,2,0),"")</f>
        <v/>
      </c>
    </row>
    <row r="369" spans="6:6" x14ac:dyDescent="0.25">
      <c r="F369" s="12" t="str">
        <f>IFERROR(VLOOKUP(E369,'Data sheet'!$B:$C,2,0),"")</f>
        <v/>
      </c>
    </row>
    <row r="370" spans="6:6" x14ac:dyDescent="0.25">
      <c r="F370" s="12" t="str">
        <f>IFERROR(VLOOKUP(E370,'Data sheet'!$B:$C,2,0),"")</f>
        <v/>
      </c>
    </row>
    <row r="371" spans="6:6" x14ac:dyDescent="0.25">
      <c r="F371" s="12" t="str">
        <f>IFERROR(VLOOKUP(E371,'Data sheet'!$B:$C,2,0),"")</f>
        <v/>
      </c>
    </row>
    <row r="372" spans="6:6" x14ac:dyDescent="0.25">
      <c r="F372" s="12" t="str">
        <f>IFERROR(VLOOKUP(E372,'Data sheet'!$B:$C,2,0),"")</f>
        <v/>
      </c>
    </row>
    <row r="373" spans="6:6" x14ac:dyDescent="0.25">
      <c r="F373" s="12" t="str">
        <f>IFERROR(VLOOKUP(E373,'Data sheet'!$B:$C,2,0),"")</f>
        <v/>
      </c>
    </row>
    <row r="374" spans="6:6" x14ac:dyDescent="0.25">
      <c r="F374" s="12" t="str">
        <f>IFERROR(VLOOKUP(E374,'Data sheet'!$B:$C,2,0),"")</f>
        <v/>
      </c>
    </row>
    <row r="375" spans="6:6" x14ac:dyDescent="0.25">
      <c r="F375" s="12" t="str">
        <f>IFERROR(VLOOKUP(E375,'Data sheet'!$B:$C,2,0),"")</f>
        <v/>
      </c>
    </row>
    <row r="376" spans="6:6" x14ac:dyDescent="0.25">
      <c r="F376" s="12" t="str">
        <f>IFERROR(VLOOKUP(E376,'Data sheet'!$B:$C,2,0),"")</f>
        <v/>
      </c>
    </row>
    <row r="377" spans="6:6" x14ac:dyDescent="0.25">
      <c r="F377" s="12" t="str">
        <f>IFERROR(VLOOKUP(E377,'Data sheet'!$B:$C,2,0),"")</f>
        <v/>
      </c>
    </row>
    <row r="378" spans="6:6" x14ac:dyDescent="0.25">
      <c r="F378" s="12" t="str">
        <f>IFERROR(VLOOKUP(E378,'Data sheet'!$B:$C,2,0),"")</f>
        <v/>
      </c>
    </row>
    <row r="379" spans="6:6" x14ac:dyDescent="0.25">
      <c r="F379" s="12" t="str">
        <f>IFERROR(VLOOKUP(E379,'Data sheet'!$B:$C,2,0),"")</f>
        <v/>
      </c>
    </row>
    <row r="380" spans="6:6" x14ac:dyDescent="0.25">
      <c r="F380" s="12" t="str">
        <f>IFERROR(VLOOKUP(E380,'Data sheet'!$B:$C,2,0),"")</f>
        <v/>
      </c>
    </row>
    <row r="381" spans="6:6" x14ac:dyDescent="0.25">
      <c r="F381" s="12" t="str">
        <f>IFERROR(VLOOKUP(E381,'Data sheet'!$B:$C,2,0),"")</f>
        <v/>
      </c>
    </row>
    <row r="382" spans="6:6" x14ac:dyDescent="0.25">
      <c r="F382" s="12" t="str">
        <f>IFERROR(VLOOKUP(E382,'Data sheet'!$B:$C,2,0),"")</f>
        <v/>
      </c>
    </row>
    <row r="383" spans="6:6" x14ac:dyDescent="0.25">
      <c r="F383" s="12" t="str">
        <f>IFERROR(VLOOKUP(E383,'Data sheet'!$B:$C,2,0),"")</f>
        <v/>
      </c>
    </row>
    <row r="384" spans="6:6" x14ac:dyDescent="0.25">
      <c r="F384" s="12" t="str">
        <f>IFERROR(VLOOKUP(E384,'Data sheet'!$B:$C,2,0),"")</f>
        <v/>
      </c>
    </row>
    <row r="385" spans="6:6" x14ac:dyDescent="0.25">
      <c r="F385" s="12" t="str">
        <f>IFERROR(VLOOKUP(E385,'Data sheet'!$B:$C,2,0),"")</f>
        <v/>
      </c>
    </row>
    <row r="386" spans="6:6" x14ac:dyDescent="0.25">
      <c r="F386" s="12" t="str">
        <f>IFERROR(VLOOKUP(E386,'Data sheet'!$B:$C,2,0),"")</f>
        <v/>
      </c>
    </row>
    <row r="387" spans="6:6" x14ac:dyDescent="0.25">
      <c r="F387" s="12" t="str">
        <f>IFERROR(VLOOKUP(E387,'Data sheet'!$B:$C,2,0),"")</f>
        <v/>
      </c>
    </row>
    <row r="388" spans="6:6" x14ac:dyDescent="0.25">
      <c r="F388" s="12" t="str">
        <f>IFERROR(VLOOKUP(E388,'Data sheet'!$B:$C,2,0),"")</f>
        <v/>
      </c>
    </row>
    <row r="389" spans="6:6" x14ac:dyDescent="0.25">
      <c r="F389" s="12" t="str">
        <f>IFERROR(VLOOKUP(E389,'Data sheet'!$B:$C,2,0),"")</f>
        <v/>
      </c>
    </row>
    <row r="390" spans="6:6" x14ac:dyDescent="0.25">
      <c r="F390" s="12" t="str">
        <f>IFERROR(VLOOKUP(E390,'Data sheet'!$B:$C,2,0),"")</f>
        <v/>
      </c>
    </row>
    <row r="391" spans="6:6" x14ac:dyDescent="0.25">
      <c r="F391" s="12" t="str">
        <f>IFERROR(VLOOKUP(E391,'Data sheet'!$B:$C,2,0),"")</f>
        <v/>
      </c>
    </row>
    <row r="392" spans="6:6" x14ac:dyDescent="0.25">
      <c r="F392" s="12" t="str">
        <f>IFERROR(VLOOKUP(E392,'Data sheet'!$B:$C,2,0),"")</f>
        <v/>
      </c>
    </row>
    <row r="393" spans="6:6" x14ac:dyDescent="0.25">
      <c r="F393" s="12" t="str">
        <f>IFERROR(VLOOKUP(E393,'Data sheet'!$B:$C,2,0),"")</f>
        <v/>
      </c>
    </row>
    <row r="394" spans="6:6" x14ac:dyDescent="0.25">
      <c r="F394" s="12" t="str">
        <f>IFERROR(VLOOKUP(E394,'Data sheet'!$B:$C,2,0),"")</f>
        <v/>
      </c>
    </row>
    <row r="395" spans="6:6" x14ac:dyDescent="0.25">
      <c r="F395" s="12" t="str">
        <f>IFERROR(VLOOKUP(E395,'Data sheet'!$B:$C,2,0),"")</f>
        <v/>
      </c>
    </row>
    <row r="396" spans="6:6" x14ac:dyDescent="0.25">
      <c r="F396" s="12" t="str">
        <f>IFERROR(VLOOKUP(E396,'Data sheet'!$B:$C,2,0),"")</f>
        <v/>
      </c>
    </row>
    <row r="397" spans="6:6" x14ac:dyDescent="0.25">
      <c r="F397" s="12" t="str">
        <f>IFERROR(VLOOKUP(E397,'Data sheet'!$B:$C,2,0),"")</f>
        <v/>
      </c>
    </row>
    <row r="398" spans="6:6" x14ac:dyDescent="0.25">
      <c r="F398" s="12" t="str">
        <f>IFERROR(VLOOKUP(E398,'Data sheet'!$B:$C,2,0),"")</f>
        <v/>
      </c>
    </row>
    <row r="399" spans="6:6" x14ac:dyDescent="0.25">
      <c r="F399" s="12" t="str">
        <f>IFERROR(VLOOKUP(E399,'Data sheet'!$B:$C,2,0),"")</f>
        <v/>
      </c>
    </row>
    <row r="400" spans="6:6" x14ac:dyDescent="0.25">
      <c r="F400" s="12" t="str">
        <f>IFERROR(VLOOKUP(E400,'Data sheet'!$B:$C,2,0),"")</f>
        <v/>
      </c>
    </row>
    <row r="401" spans="6:6" x14ac:dyDescent="0.25">
      <c r="F401" s="12" t="str">
        <f>IFERROR(VLOOKUP(E401,'Data sheet'!$B:$C,2,0),"")</f>
        <v/>
      </c>
    </row>
    <row r="402" spans="6:6" x14ac:dyDescent="0.25">
      <c r="F402" s="12" t="str">
        <f>IFERROR(VLOOKUP(E402,'Data sheet'!$B:$C,2,0),"")</f>
        <v/>
      </c>
    </row>
    <row r="403" spans="6:6" x14ac:dyDescent="0.25">
      <c r="F403" s="12" t="str">
        <f>IFERROR(VLOOKUP(E403,'Data sheet'!$B:$C,2,0),"")</f>
        <v/>
      </c>
    </row>
    <row r="404" spans="6:6" x14ac:dyDescent="0.25">
      <c r="F404" s="12" t="str">
        <f>IFERROR(VLOOKUP(E404,'Data sheet'!$B:$C,2,0),"")</f>
        <v/>
      </c>
    </row>
    <row r="405" spans="6:6" x14ac:dyDescent="0.25">
      <c r="F405" s="12" t="str">
        <f>IFERROR(VLOOKUP(E405,'Data sheet'!$B:$C,2,0),"")</f>
        <v/>
      </c>
    </row>
    <row r="406" spans="6:6" x14ac:dyDescent="0.25">
      <c r="F406" s="12" t="str">
        <f>IFERROR(VLOOKUP(E406,'Data sheet'!$B:$C,2,0),"")</f>
        <v/>
      </c>
    </row>
    <row r="407" spans="6:6" x14ac:dyDescent="0.25">
      <c r="F407" s="12" t="str">
        <f>IFERROR(VLOOKUP(E407,'Data sheet'!$B:$C,2,0),"")</f>
        <v/>
      </c>
    </row>
    <row r="408" spans="6:6" x14ac:dyDescent="0.25">
      <c r="F408" s="12" t="str">
        <f>IFERROR(VLOOKUP(E408,'Data sheet'!$B:$C,2,0),"")</f>
        <v/>
      </c>
    </row>
    <row r="409" spans="6:6" x14ac:dyDescent="0.25">
      <c r="F409" s="12" t="str">
        <f>IFERROR(VLOOKUP(E409,'Data sheet'!$B:$C,2,0),"")</f>
        <v/>
      </c>
    </row>
    <row r="410" spans="6:6" x14ac:dyDescent="0.25">
      <c r="F410" s="12" t="str">
        <f>IFERROR(VLOOKUP(E410,'Data sheet'!$B:$C,2,0),"")</f>
        <v/>
      </c>
    </row>
    <row r="411" spans="6:6" x14ac:dyDescent="0.25">
      <c r="F411" s="12" t="str">
        <f>IFERROR(VLOOKUP(E411,'Data sheet'!$B:$C,2,0),"")</f>
        <v/>
      </c>
    </row>
    <row r="412" spans="6:6" x14ac:dyDescent="0.25">
      <c r="F412" s="12" t="str">
        <f>IFERROR(VLOOKUP(E412,'Data sheet'!$B:$C,2,0),"")</f>
        <v/>
      </c>
    </row>
    <row r="413" spans="6:6" x14ac:dyDescent="0.25">
      <c r="F413" s="12" t="str">
        <f>IFERROR(VLOOKUP(E413,'Data sheet'!$B:$C,2,0),"")</f>
        <v/>
      </c>
    </row>
    <row r="414" spans="6:6" x14ac:dyDescent="0.25">
      <c r="F414" s="12" t="str">
        <f>IFERROR(VLOOKUP(E414,'Data sheet'!$B:$C,2,0),"")</f>
        <v/>
      </c>
    </row>
    <row r="415" spans="6:6" x14ac:dyDescent="0.25">
      <c r="F415" s="12" t="str">
        <f>IFERROR(VLOOKUP(E415,'Data sheet'!$B:$C,2,0),"")</f>
        <v/>
      </c>
    </row>
    <row r="416" spans="6:6" x14ac:dyDescent="0.25">
      <c r="F416" s="12" t="str">
        <f>IFERROR(VLOOKUP(E416,'Data sheet'!$B:$C,2,0),"")</f>
        <v/>
      </c>
    </row>
    <row r="417" spans="6:6" x14ac:dyDescent="0.25">
      <c r="F417" s="12" t="str">
        <f>IFERROR(VLOOKUP(E417,'Data sheet'!$B:$C,2,0),"")</f>
        <v/>
      </c>
    </row>
    <row r="418" spans="6:6" x14ac:dyDescent="0.25">
      <c r="F418" s="12" t="str">
        <f>IFERROR(VLOOKUP(E418,'Data sheet'!$B:$C,2,0),"")</f>
        <v/>
      </c>
    </row>
    <row r="419" spans="6:6" x14ac:dyDescent="0.25">
      <c r="F419" s="12" t="str">
        <f>IFERROR(VLOOKUP(E419,'Data sheet'!$B:$C,2,0),"")</f>
        <v/>
      </c>
    </row>
    <row r="420" spans="6:6" x14ac:dyDescent="0.25">
      <c r="F420" s="12" t="str">
        <f>IFERROR(VLOOKUP(E420,'Data sheet'!$B:$C,2,0),"")</f>
        <v/>
      </c>
    </row>
    <row r="421" spans="6:6" x14ac:dyDescent="0.25">
      <c r="F421" s="12" t="str">
        <f>IFERROR(VLOOKUP(E421,'Data sheet'!$B:$C,2,0),"")</f>
        <v/>
      </c>
    </row>
    <row r="422" spans="6:6" x14ac:dyDescent="0.25">
      <c r="F422" s="12" t="str">
        <f>IFERROR(VLOOKUP(E422,'Data sheet'!$B:$C,2,0),"")</f>
        <v/>
      </c>
    </row>
    <row r="423" spans="6:6" x14ac:dyDescent="0.25">
      <c r="F423" s="12" t="str">
        <f>IFERROR(VLOOKUP(E423,'Data sheet'!$B:$C,2,0),"")</f>
        <v/>
      </c>
    </row>
    <row r="424" spans="6:6" x14ac:dyDescent="0.25">
      <c r="F424" s="12" t="str">
        <f>IFERROR(VLOOKUP(E424,'Data sheet'!$B:$C,2,0),"")</f>
        <v/>
      </c>
    </row>
    <row r="425" spans="6:6" x14ac:dyDescent="0.25">
      <c r="F425" s="12" t="str">
        <f>IFERROR(VLOOKUP(E425,'Data sheet'!$B:$C,2,0),"")</f>
        <v/>
      </c>
    </row>
    <row r="426" spans="6:6" x14ac:dyDescent="0.25">
      <c r="F426" s="12" t="str">
        <f>IFERROR(VLOOKUP(E426,'Data sheet'!$B:$C,2,0),"")</f>
        <v/>
      </c>
    </row>
    <row r="427" spans="6:6" x14ac:dyDescent="0.25">
      <c r="F427" s="12" t="str">
        <f>IFERROR(VLOOKUP(E427,'Data sheet'!$B:$C,2,0),"")</f>
        <v/>
      </c>
    </row>
    <row r="428" spans="6:6" x14ac:dyDescent="0.25">
      <c r="F428" s="12" t="str">
        <f>IFERROR(VLOOKUP(E428,'Data sheet'!$B:$C,2,0),"")</f>
        <v/>
      </c>
    </row>
    <row r="429" spans="6:6" x14ac:dyDescent="0.25">
      <c r="F429" s="12" t="str">
        <f>IFERROR(VLOOKUP(E429,'Data sheet'!$B:$C,2,0),"")</f>
        <v/>
      </c>
    </row>
    <row r="430" spans="6:6" x14ac:dyDescent="0.25">
      <c r="F430" s="12" t="str">
        <f>IFERROR(VLOOKUP(E430,'Data sheet'!$B:$C,2,0),"")</f>
        <v/>
      </c>
    </row>
    <row r="431" spans="6:6" x14ac:dyDescent="0.25">
      <c r="F431" s="12" t="str">
        <f>IFERROR(VLOOKUP(E431,'Data sheet'!$B:$C,2,0),"")</f>
        <v/>
      </c>
    </row>
    <row r="432" spans="6:6" x14ac:dyDescent="0.25">
      <c r="F432" s="12" t="str">
        <f>IFERROR(VLOOKUP(E432,'Data sheet'!$B:$C,2,0),"")</f>
        <v/>
      </c>
    </row>
    <row r="433" spans="6:6" x14ac:dyDescent="0.25">
      <c r="F433" s="12" t="str">
        <f>IFERROR(VLOOKUP(E433,'Data sheet'!$B:$C,2,0),"")</f>
        <v/>
      </c>
    </row>
    <row r="434" spans="6:6" x14ac:dyDescent="0.25">
      <c r="F434" s="12" t="str">
        <f>IFERROR(VLOOKUP(E434,'Data sheet'!$B:$C,2,0),"")</f>
        <v/>
      </c>
    </row>
    <row r="435" spans="6:6" x14ac:dyDescent="0.25">
      <c r="F435" s="12" t="str">
        <f>IFERROR(VLOOKUP(E435,'Data sheet'!$B:$C,2,0),"")</f>
        <v/>
      </c>
    </row>
    <row r="436" spans="6:6" x14ac:dyDescent="0.25">
      <c r="F436" s="12" t="str">
        <f>IFERROR(VLOOKUP(E436,'Data sheet'!$B:$C,2,0),"")</f>
        <v/>
      </c>
    </row>
    <row r="437" spans="6:6" x14ac:dyDescent="0.25">
      <c r="F437" s="12" t="str">
        <f>IFERROR(VLOOKUP(E437,'Data sheet'!$B:$C,2,0),"")</f>
        <v/>
      </c>
    </row>
    <row r="438" spans="6:6" x14ac:dyDescent="0.25">
      <c r="F438" s="12" t="str">
        <f>IFERROR(VLOOKUP(E438,'Data sheet'!$B:$C,2,0),"")</f>
        <v/>
      </c>
    </row>
    <row r="439" spans="6:6" x14ac:dyDescent="0.25">
      <c r="F439" s="12" t="str">
        <f>IFERROR(VLOOKUP(E439,'Data sheet'!$B:$C,2,0),"")</f>
        <v/>
      </c>
    </row>
    <row r="440" spans="6:6" x14ac:dyDescent="0.25">
      <c r="F440" s="12" t="str">
        <f>IFERROR(VLOOKUP(E440,'Data sheet'!$B:$C,2,0),"")</f>
        <v/>
      </c>
    </row>
    <row r="441" spans="6:6" x14ac:dyDescent="0.25">
      <c r="F441" s="12" t="str">
        <f>IFERROR(VLOOKUP(E441,'Data sheet'!$B:$C,2,0),"")</f>
        <v/>
      </c>
    </row>
    <row r="442" spans="6:6" x14ac:dyDescent="0.25">
      <c r="F442" s="12" t="str">
        <f>IFERROR(VLOOKUP(E442,'Data sheet'!$B:$C,2,0),"")</f>
        <v/>
      </c>
    </row>
    <row r="443" spans="6:6" x14ac:dyDescent="0.25">
      <c r="F443" s="12" t="str">
        <f>IFERROR(VLOOKUP(E443,'Data sheet'!$B:$C,2,0),"")</f>
        <v/>
      </c>
    </row>
    <row r="444" spans="6:6" x14ac:dyDescent="0.25">
      <c r="F444" s="12" t="str">
        <f>IFERROR(VLOOKUP(E444,'Data sheet'!$B:$C,2,0),"")</f>
        <v/>
      </c>
    </row>
    <row r="445" spans="6:6" x14ac:dyDescent="0.25">
      <c r="F445" s="12" t="str">
        <f>IFERROR(VLOOKUP(E445,'Data sheet'!$B:$C,2,0),"")</f>
        <v/>
      </c>
    </row>
    <row r="446" spans="6:6" x14ac:dyDescent="0.25">
      <c r="F446" s="12" t="str">
        <f>IFERROR(VLOOKUP(E446,'Data sheet'!$B:$C,2,0),"")</f>
        <v/>
      </c>
    </row>
    <row r="447" spans="6:6" x14ac:dyDescent="0.25">
      <c r="F447" s="12" t="str">
        <f>IFERROR(VLOOKUP(E447,'Data sheet'!$B:$C,2,0),"")</f>
        <v/>
      </c>
    </row>
    <row r="448" spans="6:6" x14ac:dyDescent="0.25">
      <c r="F448" s="12" t="str">
        <f>IFERROR(VLOOKUP(E448,'Data sheet'!$B:$C,2,0),"")</f>
        <v/>
      </c>
    </row>
    <row r="449" spans="6:6" x14ac:dyDescent="0.25">
      <c r="F449" s="12" t="str">
        <f>IFERROR(VLOOKUP(E449,'Data sheet'!$B:$C,2,0),"")</f>
        <v/>
      </c>
    </row>
    <row r="450" spans="6:6" x14ac:dyDescent="0.25">
      <c r="F450" s="12" t="str">
        <f>IFERROR(VLOOKUP(E450,'Data sheet'!$B:$C,2,0),"")</f>
        <v/>
      </c>
    </row>
    <row r="451" spans="6:6" x14ac:dyDescent="0.25">
      <c r="F451" s="12" t="str">
        <f>IFERROR(VLOOKUP(E451,'Data sheet'!$B:$C,2,0),"")</f>
        <v/>
      </c>
    </row>
    <row r="452" spans="6:6" x14ac:dyDescent="0.25">
      <c r="F452" s="12" t="str">
        <f>IFERROR(VLOOKUP(E452,'Data sheet'!$B:$C,2,0),"")</f>
        <v/>
      </c>
    </row>
    <row r="453" spans="6:6" x14ac:dyDescent="0.25">
      <c r="F453" s="12" t="str">
        <f>IFERROR(VLOOKUP(E453,'Data sheet'!$B:$C,2,0),"")</f>
        <v/>
      </c>
    </row>
    <row r="454" spans="6:6" x14ac:dyDescent="0.25">
      <c r="F454" s="12" t="str">
        <f>IFERROR(VLOOKUP(E454,'Data sheet'!$B:$C,2,0),"")</f>
        <v/>
      </c>
    </row>
    <row r="455" spans="6:6" x14ac:dyDescent="0.25">
      <c r="F455" s="12" t="str">
        <f>IFERROR(VLOOKUP(E455,'Data sheet'!$B:$C,2,0),"")</f>
        <v/>
      </c>
    </row>
    <row r="456" spans="6:6" x14ac:dyDescent="0.25">
      <c r="F456" s="12" t="str">
        <f>IFERROR(VLOOKUP(E456,'Data sheet'!$B:$C,2,0),"")</f>
        <v/>
      </c>
    </row>
    <row r="457" spans="6:6" x14ac:dyDescent="0.25">
      <c r="F457" s="12" t="str">
        <f>IFERROR(VLOOKUP(E457,'Data sheet'!$B:$C,2,0),"")</f>
        <v/>
      </c>
    </row>
    <row r="458" spans="6:6" x14ac:dyDescent="0.25">
      <c r="F458" s="12" t="str">
        <f>IFERROR(VLOOKUP(E458,'Data sheet'!$B:$C,2,0),"")</f>
        <v/>
      </c>
    </row>
    <row r="459" spans="6:6" x14ac:dyDescent="0.25">
      <c r="F459" s="12" t="str">
        <f>IFERROR(VLOOKUP(E459,'Data sheet'!$B:$C,2,0),"")</f>
        <v/>
      </c>
    </row>
    <row r="460" spans="6:6" x14ac:dyDescent="0.25">
      <c r="F460" s="12" t="str">
        <f>IFERROR(VLOOKUP(E460,'Data sheet'!$B:$C,2,0),"")</f>
        <v/>
      </c>
    </row>
    <row r="461" spans="6:6" x14ac:dyDescent="0.25">
      <c r="F461" s="12" t="str">
        <f>IFERROR(VLOOKUP(E461,'Data sheet'!$B:$C,2,0),"")</f>
        <v/>
      </c>
    </row>
    <row r="462" spans="6:6" x14ac:dyDescent="0.25">
      <c r="F462" s="12" t="str">
        <f>IFERROR(VLOOKUP(E462,'Data sheet'!$B:$C,2,0),"")</f>
        <v/>
      </c>
    </row>
    <row r="463" spans="6:6" x14ac:dyDescent="0.25">
      <c r="F463" s="12" t="str">
        <f>IFERROR(VLOOKUP(E463,'Data sheet'!$B:$C,2,0),"")</f>
        <v/>
      </c>
    </row>
    <row r="464" spans="6:6" x14ac:dyDescent="0.25">
      <c r="F464" s="12" t="str">
        <f>IFERROR(VLOOKUP(E464,'Data sheet'!$B:$C,2,0),"")</f>
        <v/>
      </c>
    </row>
    <row r="465" spans="6:6" x14ac:dyDescent="0.25">
      <c r="F465" s="12" t="str">
        <f>IFERROR(VLOOKUP(E465,'Data sheet'!$B:$C,2,0),"")</f>
        <v/>
      </c>
    </row>
    <row r="466" spans="6:6" x14ac:dyDescent="0.25">
      <c r="F466" s="12" t="str">
        <f>IFERROR(VLOOKUP(E466,'Data sheet'!$B:$C,2,0),"")</f>
        <v/>
      </c>
    </row>
    <row r="467" spans="6:6" x14ac:dyDescent="0.25">
      <c r="F467" s="12" t="str">
        <f>IFERROR(VLOOKUP(E467,'Data sheet'!$B:$C,2,0),"")</f>
        <v/>
      </c>
    </row>
    <row r="468" spans="6:6" x14ac:dyDescent="0.25">
      <c r="F468" s="12" t="str">
        <f>IFERROR(VLOOKUP(E468,'Data sheet'!$B:$C,2,0),"")</f>
        <v/>
      </c>
    </row>
    <row r="469" spans="6:6" x14ac:dyDescent="0.25">
      <c r="F469" s="12" t="str">
        <f>IFERROR(VLOOKUP(E469,'Data sheet'!$B:$C,2,0),"")</f>
        <v/>
      </c>
    </row>
    <row r="470" spans="6:6" x14ac:dyDescent="0.25">
      <c r="F470" s="12" t="str">
        <f>IFERROR(VLOOKUP(E470,'Data sheet'!$B:$C,2,0),"")</f>
        <v/>
      </c>
    </row>
    <row r="471" spans="6:6" x14ac:dyDescent="0.25">
      <c r="F471" s="12" t="str">
        <f>IFERROR(VLOOKUP(E471,'Data sheet'!$B:$C,2,0),"")</f>
        <v/>
      </c>
    </row>
    <row r="472" spans="6:6" x14ac:dyDescent="0.25">
      <c r="F472" s="12" t="str">
        <f>IFERROR(VLOOKUP(E472,'Data sheet'!$B:$C,2,0),"")</f>
        <v/>
      </c>
    </row>
    <row r="473" spans="6:6" x14ac:dyDescent="0.25">
      <c r="F473" s="12" t="str">
        <f>IFERROR(VLOOKUP(E473,'Data sheet'!$B:$C,2,0),"")</f>
        <v/>
      </c>
    </row>
    <row r="474" spans="6:6" x14ac:dyDescent="0.25">
      <c r="F474" s="12" t="str">
        <f>IFERROR(VLOOKUP(E474,'Data sheet'!$B:$C,2,0),"")</f>
        <v/>
      </c>
    </row>
    <row r="475" spans="6:6" x14ac:dyDescent="0.25">
      <c r="F475" s="12" t="str">
        <f>IFERROR(VLOOKUP(E475,'Data sheet'!$B:$C,2,0),"")</f>
        <v/>
      </c>
    </row>
    <row r="476" spans="6:6" x14ac:dyDescent="0.25">
      <c r="F476" s="12" t="str">
        <f>IFERROR(VLOOKUP(E476,'Data sheet'!$B:$C,2,0),"")</f>
        <v/>
      </c>
    </row>
    <row r="477" spans="6:6" x14ac:dyDescent="0.25">
      <c r="F477" s="12" t="str">
        <f>IFERROR(VLOOKUP(E477,'Data sheet'!$B:$C,2,0),"")</f>
        <v/>
      </c>
    </row>
    <row r="478" spans="6:6" x14ac:dyDescent="0.25">
      <c r="F478" s="12" t="str">
        <f>IFERROR(VLOOKUP(E478,'Data sheet'!$B:$C,2,0),"")</f>
        <v/>
      </c>
    </row>
    <row r="479" spans="6:6" x14ac:dyDescent="0.25">
      <c r="F479" s="12" t="str">
        <f>IFERROR(VLOOKUP(E479,'Data sheet'!$B:$C,2,0),"")</f>
        <v/>
      </c>
    </row>
    <row r="480" spans="6:6" x14ac:dyDescent="0.25">
      <c r="F480" s="12" t="str">
        <f>IFERROR(VLOOKUP(E480,'Data sheet'!$B:$C,2,0),"")</f>
        <v/>
      </c>
    </row>
    <row r="481" spans="6:6" x14ac:dyDescent="0.25">
      <c r="F481" s="12" t="str">
        <f>IFERROR(VLOOKUP(E481,'Data sheet'!$B:$C,2,0),"")</f>
        <v/>
      </c>
    </row>
    <row r="482" spans="6:6" x14ac:dyDescent="0.25">
      <c r="F482" s="12" t="str">
        <f>IFERROR(VLOOKUP(E482,'Data sheet'!$B:$C,2,0),"")</f>
        <v/>
      </c>
    </row>
    <row r="483" spans="6:6" x14ac:dyDescent="0.25">
      <c r="F483" s="12" t="str">
        <f>IFERROR(VLOOKUP(E483,'Data sheet'!$B:$C,2,0),"")</f>
        <v/>
      </c>
    </row>
    <row r="484" spans="6:6" x14ac:dyDescent="0.25">
      <c r="F484" s="12" t="str">
        <f>IFERROR(VLOOKUP(E484,'Data sheet'!$B:$C,2,0),"")</f>
        <v/>
      </c>
    </row>
    <row r="485" spans="6:6" x14ac:dyDescent="0.25">
      <c r="F485" s="12" t="str">
        <f>IFERROR(VLOOKUP(E485,'Data sheet'!$B:$C,2,0),"")</f>
        <v/>
      </c>
    </row>
    <row r="486" spans="6:6" x14ac:dyDescent="0.25">
      <c r="F486" s="12" t="str">
        <f>IFERROR(VLOOKUP(E486,'Data sheet'!$B:$C,2,0),"")</f>
        <v/>
      </c>
    </row>
    <row r="487" spans="6:6" x14ac:dyDescent="0.25">
      <c r="F487" s="12" t="str">
        <f>IFERROR(VLOOKUP(E487,'Data sheet'!$B:$C,2,0),"")</f>
        <v/>
      </c>
    </row>
    <row r="488" spans="6:6" x14ac:dyDescent="0.25">
      <c r="F488" s="12" t="str">
        <f>IFERROR(VLOOKUP(E488,'Data sheet'!$B:$C,2,0),"")</f>
        <v/>
      </c>
    </row>
    <row r="489" spans="6:6" x14ac:dyDescent="0.25">
      <c r="F489" s="12" t="str">
        <f>IFERROR(VLOOKUP(E489,'Data sheet'!$B:$C,2,0),"")</f>
        <v/>
      </c>
    </row>
    <row r="490" spans="6:6" x14ac:dyDescent="0.25">
      <c r="F490" s="12" t="str">
        <f>IFERROR(VLOOKUP(E490,'Data sheet'!$B:$C,2,0),"")</f>
        <v/>
      </c>
    </row>
    <row r="491" spans="6:6" x14ac:dyDescent="0.25">
      <c r="F491" s="12" t="str">
        <f>IFERROR(VLOOKUP(E491,'Data sheet'!$B:$C,2,0),"")</f>
        <v/>
      </c>
    </row>
    <row r="492" spans="6:6" x14ac:dyDescent="0.25">
      <c r="F492" s="12" t="str">
        <f>IFERROR(VLOOKUP(E492,'Data sheet'!$B:$C,2,0),"")</f>
        <v/>
      </c>
    </row>
    <row r="493" spans="6:6" x14ac:dyDescent="0.25">
      <c r="F493" s="12" t="str">
        <f>IFERROR(VLOOKUP(E493,'Data sheet'!$B:$C,2,0),"")</f>
        <v/>
      </c>
    </row>
    <row r="494" spans="6:6" x14ac:dyDescent="0.25">
      <c r="F494" s="12" t="str">
        <f>IFERROR(VLOOKUP(E494,'Data sheet'!$B:$C,2,0),"")</f>
        <v/>
      </c>
    </row>
    <row r="495" spans="6:6" x14ac:dyDescent="0.25">
      <c r="F495" s="12" t="str">
        <f>IFERROR(VLOOKUP(E495,'Data sheet'!$B:$C,2,0),"")</f>
        <v/>
      </c>
    </row>
    <row r="496" spans="6:6" x14ac:dyDescent="0.25">
      <c r="F496" s="12" t="str">
        <f>IFERROR(VLOOKUP(E496,'Data sheet'!$B:$C,2,0),"")</f>
        <v/>
      </c>
    </row>
    <row r="497" spans="6:6" x14ac:dyDescent="0.25">
      <c r="F497" s="12" t="str">
        <f>IFERROR(VLOOKUP(E497,'Data sheet'!$B:$C,2,0),"")</f>
        <v/>
      </c>
    </row>
    <row r="498" spans="6:6" x14ac:dyDescent="0.25">
      <c r="F498" s="12" t="str">
        <f>IFERROR(VLOOKUP(E498,'Data sheet'!$B:$C,2,0),"")</f>
        <v/>
      </c>
    </row>
    <row r="499" spans="6:6" x14ac:dyDescent="0.25">
      <c r="F499" s="12" t="str">
        <f>IFERROR(VLOOKUP(E499,'Data sheet'!$B:$C,2,0),"")</f>
        <v/>
      </c>
    </row>
    <row r="500" spans="6:6" x14ac:dyDescent="0.25">
      <c r="F500" s="12" t="str">
        <f>IFERROR(VLOOKUP(E500,'Data sheet'!$B:$C,2,0),"")</f>
        <v/>
      </c>
    </row>
    <row r="501" spans="6:6" x14ac:dyDescent="0.25">
      <c r="F501" s="12" t="str">
        <f>IFERROR(VLOOKUP(E501,'Data sheet'!$B:$C,2,0),"")</f>
        <v/>
      </c>
    </row>
    <row r="502" spans="6:6" x14ac:dyDescent="0.25">
      <c r="F502" s="12" t="str">
        <f>IFERROR(VLOOKUP(E502,'Data sheet'!$B:$C,2,0),"")</f>
        <v/>
      </c>
    </row>
    <row r="503" spans="6:6" x14ac:dyDescent="0.25">
      <c r="F503" s="12" t="str">
        <f>IFERROR(VLOOKUP(E503,'Data sheet'!$B:$C,2,0),"")</f>
        <v/>
      </c>
    </row>
    <row r="504" spans="6:6" x14ac:dyDescent="0.25">
      <c r="F504" s="12" t="str">
        <f>IFERROR(VLOOKUP(E504,'Data sheet'!$B:$C,2,0),"")</f>
        <v/>
      </c>
    </row>
    <row r="505" spans="6:6" x14ac:dyDescent="0.25">
      <c r="F505" s="12" t="str">
        <f>IFERROR(VLOOKUP(E505,'Data sheet'!$B:$C,2,0),"")</f>
        <v/>
      </c>
    </row>
    <row r="506" spans="6:6" x14ac:dyDescent="0.25">
      <c r="F506" s="12" t="str">
        <f>IFERROR(VLOOKUP(E506,'Data sheet'!$B:$C,2,0),"")</f>
        <v/>
      </c>
    </row>
    <row r="507" spans="6:6" x14ac:dyDescent="0.25">
      <c r="F507" s="12" t="str">
        <f>IFERROR(VLOOKUP(E507,'Data sheet'!$B:$C,2,0),"")</f>
        <v/>
      </c>
    </row>
    <row r="508" spans="6:6" x14ac:dyDescent="0.25">
      <c r="F508" s="12" t="str">
        <f>IFERROR(VLOOKUP(E508,'Data sheet'!$B:$C,2,0),"")</f>
        <v/>
      </c>
    </row>
    <row r="509" spans="6:6" x14ac:dyDescent="0.25">
      <c r="F509" s="12" t="str">
        <f>IFERROR(VLOOKUP(E509,'Data sheet'!$B:$C,2,0),"")</f>
        <v/>
      </c>
    </row>
    <row r="510" spans="6:6" x14ac:dyDescent="0.25">
      <c r="F510" s="12" t="str">
        <f>IFERROR(VLOOKUP(E510,'Data sheet'!$B:$C,2,0),"")</f>
        <v/>
      </c>
    </row>
    <row r="511" spans="6:6" x14ac:dyDescent="0.25">
      <c r="F511" s="12" t="str">
        <f>IFERROR(VLOOKUP(E511,'Data sheet'!$B:$C,2,0),"")</f>
        <v/>
      </c>
    </row>
    <row r="512" spans="6:6" x14ac:dyDescent="0.25">
      <c r="F512" s="12" t="str">
        <f>IFERROR(VLOOKUP(E512,'Data sheet'!$B:$C,2,0),"")</f>
        <v/>
      </c>
    </row>
    <row r="513" spans="6:6" x14ac:dyDescent="0.25">
      <c r="F513" s="12" t="str">
        <f>IFERROR(VLOOKUP(E513,'Data sheet'!$B:$C,2,0),"")</f>
        <v/>
      </c>
    </row>
    <row r="514" spans="6:6" x14ac:dyDescent="0.25">
      <c r="F514" s="12" t="str">
        <f>IFERROR(VLOOKUP(E514,'Data sheet'!$B:$C,2,0),"")</f>
        <v/>
      </c>
    </row>
    <row r="515" spans="6:6" x14ac:dyDescent="0.25">
      <c r="F515" s="12" t="str">
        <f>IFERROR(VLOOKUP(E515,'Data sheet'!$B:$C,2,0),"")</f>
        <v/>
      </c>
    </row>
    <row r="516" spans="6:6" x14ac:dyDescent="0.25">
      <c r="F516" s="12" t="str">
        <f>IFERROR(VLOOKUP(E516,'Data sheet'!$B:$C,2,0),"")</f>
        <v/>
      </c>
    </row>
    <row r="517" spans="6:6" x14ac:dyDescent="0.25">
      <c r="F517" s="12" t="str">
        <f>IFERROR(VLOOKUP(E517,'Data sheet'!$B:$C,2,0),"")</f>
        <v/>
      </c>
    </row>
    <row r="518" spans="6:6" x14ac:dyDescent="0.25">
      <c r="F518" s="12" t="str">
        <f>IFERROR(VLOOKUP(E518,'Data sheet'!$B:$C,2,0),"")</f>
        <v/>
      </c>
    </row>
    <row r="519" spans="6:6" x14ac:dyDescent="0.25">
      <c r="F519" s="12" t="str">
        <f>IFERROR(VLOOKUP(E519,'Data sheet'!$B:$C,2,0),"")</f>
        <v/>
      </c>
    </row>
    <row r="520" spans="6:6" x14ac:dyDescent="0.25">
      <c r="F520" s="12" t="str">
        <f>IFERROR(VLOOKUP(E520,'Data sheet'!$B:$C,2,0),"")</f>
        <v/>
      </c>
    </row>
    <row r="521" spans="6:6" x14ac:dyDescent="0.25">
      <c r="F521" s="12" t="str">
        <f>IFERROR(VLOOKUP(E521,'Data sheet'!$B:$C,2,0),"")</f>
        <v/>
      </c>
    </row>
    <row r="522" spans="6:6" x14ac:dyDescent="0.25">
      <c r="F522" s="12" t="str">
        <f>IFERROR(VLOOKUP(E522,'Data sheet'!$B:$C,2,0),"")</f>
        <v/>
      </c>
    </row>
    <row r="523" spans="6:6" x14ac:dyDescent="0.25">
      <c r="F523" s="12" t="str">
        <f>IFERROR(VLOOKUP(E523,'Data sheet'!$B:$C,2,0),"")</f>
        <v/>
      </c>
    </row>
    <row r="524" spans="6:6" x14ac:dyDescent="0.25">
      <c r="F524" s="12" t="str">
        <f>IFERROR(VLOOKUP(E524,'Data sheet'!$B:$C,2,0),"")</f>
        <v/>
      </c>
    </row>
    <row r="525" spans="6:6" x14ac:dyDescent="0.25">
      <c r="F525" s="12" t="str">
        <f>IFERROR(VLOOKUP(E525,'Data sheet'!$B:$C,2,0),"")</f>
        <v/>
      </c>
    </row>
    <row r="526" spans="6:6" x14ac:dyDescent="0.25">
      <c r="F526" s="12" t="str">
        <f>IFERROR(VLOOKUP(E526,'Data sheet'!$B:$C,2,0),"")</f>
        <v/>
      </c>
    </row>
    <row r="527" spans="6:6" x14ac:dyDescent="0.25">
      <c r="F527" s="12" t="str">
        <f>IFERROR(VLOOKUP(E527,'Data sheet'!$B:$C,2,0),"")</f>
        <v/>
      </c>
    </row>
    <row r="528" spans="6:6" x14ac:dyDescent="0.25">
      <c r="F528" s="12" t="str">
        <f>IFERROR(VLOOKUP(E528,'Data sheet'!$B:$C,2,0),"")</f>
        <v/>
      </c>
    </row>
    <row r="529" spans="6:6" x14ac:dyDescent="0.25">
      <c r="F529" s="12" t="str">
        <f>IFERROR(VLOOKUP(E529,'Data sheet'!$B:$C,2,0),"")</f>
        <v/>
      </c>
    </row>
    <row r="530" spans="6:6" x14ac:dyDescent="0.25">
      <c r="F530" s="12" t="str">
        <f>IFERROR(VLOOKUP(E530,'Data sheet'!$B:$C,2,0),"")</f>
        <v/>
      </c>
    </row>
    <row r="531" spans="6:6" x14ac:dyDescent="0.25">
      <c r="F531" s="12" t="str">
        <f>IFERROR(VLOOKUP(E531,'Data sheet'!$B:$C,2,0),"")</f>
        <v/>
      </c>
    </row>
    <row r="532" spans="6:6" x14ac:dyDescent="0.25">
      <c r="F532" s="12" t="str">
        <f>IFERROR(VLOOKUP(E532,'Data sheet'!$B:$C,2,0),"")</f>
        <v/>
      </c>
    </row>
    <row r="533" spans="6:6" x14ac:dyDescent="0.25">
      <c r="F533" s="12" t="str">
        <f>IFERROR(VLOOKUP(E533,'Data sheet'!$B:$C,2,0),"")</f>
        <v/>
      </c>
    </row>
    <row r="534" spans="6:6" x14ac:dyDescent="0.25">
      <c r="F534" s="12" t="str">
        <f>IFERROR(VLOOKUP(E534,'Data sheet'!$B:$C,2,0),"")</f>
        <v/>
      </c>
    </row>
    <row r="535" spans="6:6" x14ac:dyDescent="0.25">
      <c r="F535" s="12" t="str">
        <f>IFERROR(VLOOKUP(E535,'Data sheet'!$B:$C,2,0),"")</f>
        <v/>
      </c>
    </row>
    <row r="536" spans="6:6" x14ac:dyDescent="0.25">
      <c r="F536" s="12" t="str">
        <f>IFERROR(VLOOKUP(E536,'Data sheet'!$B:$C,2,0),"")</f>
        <v/>
      </c>
    </row>
    <row r="537" spans="6:6" x14ac:dyDescent="0.25">
      <c r="F537" s="12" t="str">
        <f>IFERROR(VLOOKUP(E537,'Data sheet'!$B:$C,2,0),"")</f>
        <v/>
      </c>
    </row>
    <row r="538" spans="6:6" x14ac:dyDescent="0.25">
      <c r="F538" s="12" t="str">
        <f>IFERROR(VLOOKUP(E538,'Data sheet'!$B:$C,2,0),"")</f>
        <v/>
      </c>
    </row>
    <row r="539" spans="6:6" x14ac:dyDescent="0.25">
      <c r="F539" s="12" t="str">
        <f>IFERROR(VLOOKUP(E539,'Data sheet'!$B:$C,2,0),"")</f>
        <v/>
      </c>
    </row>
    <row r="540" spans="6:6" x14ac:dyDescent="0.25">
      <c r="F540" s="12" t="str">
        <f>IFERROR(VLOOKUP(E540,'Data sheet'!$B:$C,2,0),"")</f>
        <v/>
      </c>
    </row>
    <row r="541" spans="6:6" x14ac:dyDescent="0.25">
      <c r="F541" s="12" t="str">
        <f>IFERROR(VLOOKUP(E541,'Data sheet'!$B:$C,2,0),"")</f>
        <v/>
      </c>
    </row>
    <row r="542" spans="6:6" x14ac:dyDescent="0.25">
      <c r="F542" s="12" t="str">
        <f>IFERROR(VLOOKUP(E542,'Data sheet'!$B:$C,2,0),"")</f>
        <v/>
      </c>
    </row>
    <row r="543" spans="6:6" x14ac:dyDescent="0.25">
      <c r="F543" s="12" t="str">
        <f>IFERROR(VLOOKUP(E543,'Data sheet'!$B:$C,2,0),"")</f>
        <v/>
      </c>
    </row>
    <row r="544" spans="6:6" x14ac:dyDescent="0.25">
      <c r="F544" s="12" t="str">
        <f>IFERROR(VLOOKUP(E544,'Data sheet'!$B:$C,2,0),"")</f>
        <v/>
      </c>
    </row>
    <row r="545" spans="6:6" x14ac:dyDescent="0.25">
      <c r="F545" s="12" t="str">
        <f>IFERROR(VLOOKUP(E545,'Data sheet'!$B:$C,2,0),"")</f>
        <v/>
      </c>
    </row>
    <row r="546" spans="6:6" x14ac:dyDescent="0.25">
      <c r="F546" s="12" t="str">
        <f>IFERROR(VLOOKUP(E546,'Data sheet'!$B:$C,2,0),"")</f>
        <v/>
      </c>
    </row>
    <row r="547" spans="6:6" x14ac:dyDescent="0.25">
      <c r="F547" s="12" t="str">
        <f>IFERROR(VLOOKUP(E547,'Data sheet'!$B:$C,2,0),"")</f>
        <v/>
      </c>
    </row>
    <row r="548" spans="6:6" x14ac:dyDescent="0.25">
      <c r="F548" s="12" t="str">
        <f>IFERROR(VLOOKUP(E548,'Data sheet'!$B:$C,2,0),"")</f>
        <v/>
      </c>
    </row>
    <row r="549" spans="6:6" x14ac:dyDescent="0.25">
      <c r="F549" s="12" t="str">
        <f>IFERROR(VLOOKUP(E549,'Data sheet'!$B:$C,2,0),"")</f>
        <v/>
      </c>
    </row>
    <row r="550" spans="6:6" x14ac:dyDescent="0.25">
      <c r="F550" s="12" t="str">
        <f>IFERROR(VLOOKUP(E550,'Data sheet'!$B:$C,2,0),"")</f>
        <v/>
      </c>
    </row>
    <row r="551" spans="6:6" x14ac:dyDescent="0.25">
      <c r="F551" s="12" t="str">
        <f>IFERROR(VLOOKUP(E551,'Data sheet'!$B:$C,2,0),"")</f>
        <v/>
      </c>
    </row>
    <row r="552" spans="6:6" x14ac:dyDescent="0.25">
      <c r="F552" s="12" t="str">
        <f>IFERROR(VLOOKUP(E552,'Data sheet'!$B:$C,2,0),"")</f>
        <v/>
      </c>
    </row>
    <row r="553" spans="6:6" x14ac:dyDescent="0.25">
      <c r="F553" s="12" t="str">
        <f>IFERROR(VLOOKUP(E553,'Data sheet'!$B:$C,2,0),"")</f>
        <v/>
      </c>
    </row>
    <row r="554" spans="6:6" x14ac:dyDescent="0.25">
      <c r="F554" s="12" t="str">
        <f>IFERROR(VLOOKUP(E554,'Data sheet'!$B:$C,2,0),"")</f>
        <v/>
      </c>
    </row>
    <row r="555" spans="6:6" x14ac:dyDescent="0.25">
      <c r="F555" s="12" t="str">
        <f>IFERROR(VLOOKUP(E555,'Data sheet'!$B:$C,2,0),"")</f>
        <v/>
      </c>
    </row>
    <row r="556" spans="6:6" x14ac:dyDescent="0.25">
      <c r="F556" s="12" t="str">
        <f>IFERROR(VLOOKUP(E556,'Data sheet'!$B:$C,2,0),"")</f>
        <v/>
      </c>
    </row>
    <row r="557" spans="6:6" x14ac:dyDescent="0.25">
      <c r="F557" s="12" t="str">
        <f>IFERROR(VLOOKUP(E557,'Data sheet'!$B:$C,2,0),"")</f>
        <v/>
      </c>
    </row>
    <row r="558" spans="6:6" x14ac:dyDescent="0.25">
      <c r="F558" s="12" t="str">
        <f>IFERROR(VLOOKUP(E558,'Data sheet'!$B:$C,2,0),"")</f>
        <v/>
      </c>
    </row>
    <row r="559" spans="6:6" x14ac:dyDescent="0.25">
      <c r="F559" s="12" t="str">
        <f>IFERROR(VLOOKUP(E559,'Data sheet'!$B:$C,2,0),"")</f>
        <v/>
      </c>
    </row>
    <row r="560" spans="6:6" x14ac:dyDescent="0.25">
      <c r="F560" s="12" t="str">
        <f>IFERROR(VLOOKUP(E560,'Data sheet'!$B:$C,2,0),"")</f>
        <v/>
      </c>
    </row>
    <row r="561" spans="6:6" x14ac:dyDescent="0.25">
      <c r="F561" s="12" t="str">
        <f>IFERROR(VLOOKUP(E561,'Data sheet'!$B:$C,2,0),"")</f>
        <v/>
      </c>
    </row>
    <row r="562" spans="6:6" x14ac:dyDescent="0.25">
      <c r="F562" s="12" t="str">
        <f>IFERROR(VLOOKUP(E562,'Data sheet'!$B:$C,2,0),"")</f>
        <v/>
      </c>
    </row>
    <row r="563" spans="6:6" x14ac:dyDescent="0.25">
      <c r="F563" s="12" t="str">
        <f>IFERROR(VLOOKUP(E563,'Data sheet'!$B:$C,2,0),"")</f>
        <v/>
      </c>
    </row>
    <row r="564" spans="6:6" x14ac:dyDescent="0.25">
      <c r="F564" s="12" t="str">
        <f>IFERROR(VLOOKUP(E564,'Data sheet'!$B:$C,2,0),"")</f>
        <v/>
      </c>
    </row>
    <row r="565" spans="6:6" x14ac:dyDescent="0.25">
      <c r="F565" s="12" t="str">
        <f>IFERROR(VLOOKUP(E565,'Data sheet'!$B:$C,2,0),"")</f>
        <v/>
      </c>
    </row>
    <row r="566" spans="6:6" x14ac:dyDescent="0.25">
      <c r="F566" s="12" t="str">
        <f>IFERROR(VLOOKUP(E566,'Data sheet'!$B:$C,2,0),"")</f>
        <v/>
      </c>
    </row>
    <row r="567" spans="6:6" x14ac:dyDescent="0.25">
      <c r="F567" s="12" t="str">
        <f>IFERROR(VLOOKUP(E567,'Data sheet'!$B:$C,2,0),"")</f>
        <v/>
      </c>
    </row>
    <row r="568" spans="6:6" x14ac:dyDescent="0.25">
      <c r="F568" s="12" t="str">
        <f>IFERROR(VLOOKUP(E568,'Data sheet'!$B:$C,2,0),"")</f>
        <v/>
      </c>
    </row>
    <row r="569" spans="6:6" x14ac:dyDescent="0.25">
      <c r="F569" s="12" t="str">
        <f>IFERROR(VLOOKUP(E569,'Data sheet'!$B:$C,2,0),"")</f>
        <v/>
      </c>
    </row>
    <row r="570" spans="6:6" x14ac:dyDescent="0.25">
      <c r="F570" s="12" t="str">
        <f>IFERROR(VLOOKUP(E570,'Data sheet'!$B:$C,2,0),"")</f>
        <v/>
      </c>
    </row>
    <row r="571" spans="6:6" x14ac:dyDescent="0.25">
      <c r="F571" s="12" t="str">
        <f>IFERROR(VLOOKUP(E571,'Data sheet'!$B:$C,2,0),"")</f>
        <v/>
      </c>
    </row>
    <row r="572" spans="6:6" x14ac:dyDescent="0.25">
      <c r="F572" s="12" t="str">
        <f>IFERROR(VLOOKUP(E572,'Data sheet'!$B:$C,2,0),"")</f>
        <v/>
      </c>
    </row>
    <row r="573" spans="6:6" x14ac:dyDescent="0.25">
      <c r="F573" s="12" t="str">
        <f>IFERROR(VLOOKUP(E573,'Data sheet'!$B:$C,2,0),"")</f>
        <v/>
      </c>
    </row>
    <row r="574" spans="6:6" x14ac:dyDescent="0.25">
      <c r="F574" s="12" t="str">
        <f>IFERROR(VLOOKUP(E574,'Data sheet'!$B:$C,2,0),"")</f>
        <v/>
      </c>
    </row>
    <row r="575" spans="6:6" x14ac:dyDescent="0.25">
      <c r="F575" s="12" t="str">
        <f>IFERROR(VLOOKUP(E575,'Data sheet'!$B:$C,2,0),"")</f>
        <v/>
      </c>
    </row>
    <row r="576" spans="6:6" x14ac:dyDescent="0.25">
      <c r="F576" s="12" t="str">
        <f>IFERROR(VLOOKUP(E576,'Data sheet'!$B:$C,2,0),"")</f>
        <v/>
      </c>
    </row>
    <row r="577" spans="6:6" x14ac:dyDescent="0.25">
      <c r="F577" s="12" t="str">
        <f>IFERROR(VLOOKUP(E577,'Data sheet'!$B:$C,2,0),"")</f>
        <v/>
      </c>
    </row>
    <row r="578" spans="6:6" x14ac:dyDescent="0.25">
      <c r="F578" s="12" t="str">
        <f>IFERROR(VLOOKUP(E578,'Data sheet'!$B:$C,2,0),"")</f>
        <v/>
      </c>
    </row>
    <row r="579" spans="6:6" x14ac:dyDescent="0.25">
      <c r="F579" s="12" t="str">
        <f>IFERROR(VLOOKUP(E579,'Data sheet'!$B:$C,2,0),"")</f>
        <v/>
      </c>
    </row>
    <row r="580" spans="6:6" x14ac:dyDescent="0.25">
      <c r="F580" s="12" t="str">
        <f>IFERROR(VLOOKUP(E580,'Data sheet'!$B:$C,2,0),"")</f>
        <v/>
      </c>
    </row>
    <row r="581" spans="6:6" x14ac:dyDescent="0.25">
      <c r="F581" s="12" t="str">
        <f>IFERROR(VLOOKUP(E581,'Data sheet'!$B:$C,2,0),"")</f>
        <v/>
      </c>
    </row>
    <row r="582" spans="6:6" x14ac:dyDescent="0.25">
      <c r="F582" s="12" t="str">
        <f>IFERROR(VLOOKUP(E582,'Data sheet'!$B:$C,2,0),"")</f>
        <v/>
      </c>
    </row>
    <row r="583" spans="6:6" x14ac:dyDescent="0.25">
      <c r="F583" s="12" t="str">
        <f>IFERROR(VLOOKUP(E583,'Data sheet'!$B:$C,2,0),"")</f>
        <v/>
      </c>
    </row>
    <row r="584" spans="6:6" x14ac:dyDescent="0.25">
      <c r="F584" s="12" t="str">
        <f>IFERROR(VLOOKUP(E584,'Data sheet'!$B:$C,2,0),"")</f>
        <v/>
      </c>
    </row>
    <row r="585" spans="6:6" x14ac:dyDescent="0.25">
      <c r="F585" s="12" t="str">
        <f>IFERROR(VLOOKUP(E585,'Data sheet'!$B:$C,2,0),"")</f>
        <v/>
      </c>
    </row>
    <row r="586" spans="6:6" x14ac:dyDescent="0.25">
      <c r="F586" s="12" t="str">
        <f>IFERROR(VLOOKUP(E586,'Data sheet'!$B:$C,2,0),"")</f>
        <v/>
      </c>
    </row>
    <row r="587" spans="6:6" x14ac:dyDescent="0.25">
      <c r="F587" s="12" t="str">
        <f>IFERROR(VLOOKUP(E587,'Data sheet'!$B:$C,2,0),"")</f>
        <v/>
      </c>
    </row>
    <row r="588" spans="6:6" x14ac:dyDescent="0.25">
      <c r="F588" s="12" t="str">
        <f>IFERROR(VLOOKUP(E588,'Data sheet'!$B:$C,2,0),"")</f>
        <v/>
      </c>
    </row>
    <row r="589" spans="6:6" x14ac:dyDescent="0.25">
      <c r="F589" s="12" t="str">
        <f>IFERROR(VLOOKUP(E589,'Data sheet'!$B:$C,2,0),"")</f>
        <v/>
      </c>
    </row>
    <row r="590" spans="6:6" x14ac:dyDescent="0.25">
      <c r="F590" s="12" t="str">
        <f>IFERROR(VLOOKUP(E590,'Data sheet'!$B:$C,2,0),"")</f>
        <v/>
      </c>
    </row>
    <row r="591" spans="6:6" x14ac:dyDescent="0.25">
      <c r="F591" s="12" t="str">
        <f>IFERROR(VLOOKUP(E591,'Data sheet'!$B:$C,2,0),"")</f>
        <v/>
      </c>
    </row>
    <row r="592" spans="6:6" x14ac:dyDescent="0.25">
      <c r="F592" s="12" t="str">
        <f>IFERROR(VLOOKUP(E592,'Data sheet'!$B:$C,2,0),"")</f>
        <v/>
      </c>
    </row>
    <row r="593" spans="6:6" x14ac:dyDescent="0.25">
      <c r="F593" s="12" t="str">
        <f>IFERROR(VLOOKUP(E593,'Data sheet'!$B:$C,2,0),"")</f>
        <v/>
      </c>
    </row>
    <row r="594" spans="6:6" x14ac:dyDescent="0.25">
      <c r="F594" s="12" t="str">
        <f>IFERROR(VLOOKUP(E594,'Data sheet'!$B:$C,2,0),"")</f>
        <v/>
      </c>
    </row>
    <row r="595" spans="6:6" x14ac:dyDescent="0.25">
      <c r="F595" s="12" t="str">
        <f>IFERROR(VLOOKUP(E595,'Data sheet'!$B:$C,2,0),"")</f>
        <v/>
      </c>
    </row>
    <row r="596" spans="6:6" x14ac:dyDescent="0.25">
      <c r="F596" s="12" t="str">
        <f>IFERROR(VLOOKUP(E596,'Data sheet'!$B:$C,2,0),"")</f>
        <v/>
      </c>
    </row>
    <row r="597" spans="6:6" x14ac:dyDescent="0.25">
      <c r="F597" s="12" t="str">
        <f>IFERROR(VLOOKUP(E597,'Data sheet'!$B:$C,2,0),"")</f>
        <v/>
      </c>
    </row>
    <row r="598" spans="6:6" x14ac:dyDescent="0.25">
      <c r="F598" s="12" t="str">
        <f>IFERROR(VLOOKUP(E598,'Data sheet'!$B:$C,2,0),"")</f>
        <v/>
      </c>
    </row>
    <row r="599" spans="6:6" x14ac:dyDescent="0.25">
      <c r="F599" s="12" t="str">
        <f>IFERROR(VLOOKUP(E599,'Data sheet'!$B:$C,2,0),"")</f>
        <v/>
      </c>
    </row>
    <row r="600" spans="6:6" x14ac:dyDescent="0.25">
      <c r="F600" s="12" t="str">
        <f>IFERROR(VLOOKUP(E600,'Data sheet'!$B:$C,2,0),"")</f>
        <v/>
      </c>
    </row>
    <row r="601" spans="6:6" x14ac:dyDescent="0.25">
      <c r="F601" s="12" t="str">
        <f>IFERROR(VLOOKUP(E601,'Data sheet'!$B:$C,2,0),"")</f>
        <v/>
      </c>
    </row>
    <row r="602" spans="6:6" x14ac:dyDescent="0.25">
      <c r="F602" s="12" t="str">
        <f>IFERROR(VLOOKUP(E602,'Data sheet'!$B:$C,2,0),"")</f>
        <v/>
      </c>
    </row>
    <row r="603" spans="6:6" x14ac:dyDescent="0.25">
      <c r="F603" s="12" t="str">
        <f>IFERROR(VLOOKUP(E603,'Data sheet'!$B:$C,2,0),"")</f>
        <v/>
      </c>
    </row>
    <row r="604" spans="6:6" x14ac:dyDescent="0.25">
      <c r="F604" s="12" t="str">
        <f>IFERROR(VLOOKUP(E604,'Data sheet'!$B:$C,2,0),"")</f>
        <v/>
      </c>
    </row>
    <row r="605" spans="6:6" x14ac:dyDescent="0.25">
      <c r="F605" s="12" t="str">
        <f>IFERROR(VLOOKUP(E605,'Data sheet'!$B:$C,2,0),"")</f>
        <v/>
      </c>
    </row>
    <row r="606" spans="6:6" x14ac:dyDescent="0.25">
      <c r="F606" s="12" t="str">
        <f>IFERROR(VLOOKUP(E606,'Data sheet'!$B:$C,2,0),"")</f>
        <v/>
      </c>
    </row>
    <row r="607" spans="6:6" x14ac:dyDescent="0.25">
      <c r="F607" s="12" t="str">
        <f>IFERROR(VLOOKUP(E607,'Data sheet'!$B:$C,2,0),"")</f>
        <v/>
      </c>
    </row>
    <row r="608" spans="6:6" x14ac:dyDescent="0.25">
      <c r="F608" s="12" t="str">
        <f>IFERROR(VLOOKUP(E608,'Data sheet'!$B:$C,2,0),"")</f>
        <v/>
      </c>
    </row>
    <row r="609" spans="6:6" x14ac:dyDescent="0.25">
      <c r="F609" s="12" t="str">
        <f>IFERROR(VLOOKUP(E609,'Data sheet'!$B:$C,2,0),"")</f>
        <v/>
      </c>
    </row>
    <row r="610" spans="6:6" x14ac:dyDescent="0.25">
      <c r="F610" s="12" t="str">
        <f>IFERROR(VLOOKUP(E610,'Data sheet'!$B:$C,2,0),"")</f>
        <v/>
      </c>
    </row>
    <row r="611" spans="6:6" x14ac:dyDescent="0.25">
      <c r="F611" s="12" t="str">
        <f>IFERROR(VLOOKUP(E611,'Data sheet'!$B:$C,2,0),"")</f>
        <v/>
      </c>
    </row>
    <row r="612" spans="6:6" x14ac:dyDescent="0.25">
      <c r="F612" s="12" t="str">
        <f>IFERROR(VLOOKUP(E612,'Data sheet'!$B:$C,2,0),"")</f>
        <v/>
      </c>
    </row>
    <row r="613" spans="6:6" x14ac:dyDescent="0.25">
      <c r="F613" s="12" t="str">
        <f>IFERROR(VLOOKUP(E613,'Data sheet'!$B:$C,2,0),"")</f>
        <v/>
      </c>
    </row>
    <row r="614" spans="6:6" x14ac:dyDescent="0.25">
      <c r="F614" s="12" t="str">
        <f>IFERROR(VLOOKUP(E614,'Data sheet'!$B:$C,2,0),"")</f>
        <v/>
      </c>
    </row>
    <row r="615" spans="6:6" x14ac:dyDescent="0.25">
      <c r="F615" s="12" t="str">
        <f>IFERROR(VLOOKUP(E615,'Data sheet'!$B:$C,2,0),"")</f>
        <v/>
      </c>
    </row>
    <row r="616" spans="6:6" x14ac:dyDescent="0.25">
      <c r="F616" s="12" t="str">
        <f>IFERROR(VLOOKUP(E616,'Data sheet'!$B:$C,2,0),"")</f>
        <v/>
      </c>
    </row>
    <row r="617" spans="6:6" x14ac:dyDescent="0.25">
      <c r="F617" s="12" t="str">
        <f>IFERROR(VLOOKUP(E617,'Data sheet'!$B:$C,2,0),"")</f>
        <v/>
      </c>
    </row>
    <row r="618" spans="6:6" x14ac:dyDescent="0.25">
      <c r="F618" s="12" t="str">
        <f>IFERROR(VLOOKUP(E618,'Data sheet'!$B:$C,2,0),"")</f>
        <v/>
      </c>
    </row>
    <row r="619" spans="6:6" x14ac:dyDescent="0.25">
      <c r="F619" s="12" t="str">
        <f>IFERROR(VLOOKUP(E619,'Data sheet'!$B:$C,2,0),"")</f>
        <v/>
      </c>
    </row>
    <row r="620" spans="6:6" x14ac:dyDescent="0.25">
      <c r="F620" s="12" t="str">
        <f>IFERROR(VLOOKUP(E620,'Data sheet'!$B:$C,2,0),"")</f>
        <v/>
      </c>
    </row>
    <row r="621" spans="6:6" x14ac:dyDescent="0.25">
      <c r="F621" s="12" t="str">
        <f>IFERROR(VLOOKUP(E621,'Data sheet'!$B:$C,2,0),"")</f>
        <v/>
      </c>
    </row>
    <row r="622" spans="6:6" x14ac:dyDescent="0.25">
      <c r="F622" s="12" t="str">
        <f>IFERROR(VLOOKUP(E622,'Data sheet'!$B:$C,2,0),"")</f>
        <v/>
      </c>
    </row>
    <row r="623" spans="6:6" x14ac:dyDescent="0.25">
      <c r="F623" s="12" t="str">
        <f>IFERROR(VLOOKUP(E623,'Data sheet'!$B:$C,2,0),"")</f>
        <v/>
      </c>
    </row>
    <row r="624" spans="6:6" x14ac:dyDescent="0.25">
      <c r="F624" s="12" t="str">
        <f>IFERROR(VLOOKUP(E624,'Data sheet'!$B:$C,2,0),"")</f>
        <v/>
      </c>
    </row>
    <row r="625" spans="6:6" x14ac:dyDescent="0.25">
      <c r="F625" s="12" t="str">
        <f>IFERROR(VLOOKUP(E625,'Data sheet'!$B:$C,2,0),"")</f>
        <v/>
      </c>
    </row>
    <row r="626" spans="6:6" x14ac:dyDescent="0.25">
      <c r="F626" s="12" t="str">
        <f>IFERROR(VLOOKUP(E626,'Data sheet'!$B:$C,2,0),"")</f>
        <v/>
      </c>
    </row>
    <row r="627" spans="6:6" x14ac:dyDescent="0.25">
      <c r="F627" s="12" t="str">
        <f>IFERROR(VLOOKUP(E627,'Data sheet'!$B:$C,2,0),"")</f>
        <v/>
      </c>
    </row>
    <row r="628" spans="6:6" x14ac:dyDescent="0.25">
      <c r="F628" s="12" t="str">
        <f>IFERROR(VLOOKUP(E628,'Data sheet'!$B:$C,2,0),"")</f>
        <v/>
      </c>
    </row>
    <row r="629" spans="6:6" x14ac:dyDescent="0.25">
      <c r="F629" s="12" t="str">
        <f>IFERROR(VLOOKUP(E629,'Data sheet'!$B:$C,2,0),"")</f>
        <v/>
      </c>
    </row>
    <row r="630" spans="6:6" x14ac:dyDescent="0.25">
      <c r="F630" s="12" t="str">
        <f>IFERROR(VLOOKUP(E630,'Data sheet'!$B:$C,2,0),"")</f>
        <v/>
      </c>
    </row>
    <row r="631" spans="6:6" x14ac:dyDescent="0.25">
      <c r="F631" s="12" t="str">
        <f>IFERROR(VLOOKUP(E631,'Data sheet'!$B:$C,2,0),"")</f>
        <v/>
      </c>
    </row>
    <row r="632" spans="6:6" x14ac:dyDescent="0.25">
      <c r="F632" s="12" t="str">
        <f>IFERROR(VLOOKUP(E632,'Data sheet'!$B:$C,2,0),"")</f>
        <v/>
      </c>
    </row>
    <row r="633" spans="6:6" x14ac:dyDescent="0.25">
      <c r="F633" s="12" t="str">
        <f>IFERROR(VLOOKUP(E633,'Data sheet'!$B:$C,2,0),"")</f>
        <v/>
      </c>
    </row>
    <row r="634" spans="6:6" x14ac:dyDescent="0.25">
      <c r="F634" s="12" t="str">
        <f>IFERROR(VLOOKUP(E634,'Data sheet'!$B:$C,2,0),"")</f>
        <v/>
      </c>
    </row>
    <row r="635" spans="6:6" x14ac:dyDescent="0.25">
      <c r="F635" s="12" t="str">
        <f>IFERROR(VLOOKUP(E635,'Data sheet'!$B:$C,2,0),"")</f>
        <v/>
      </c>
    </row>
    <row r="636" spans="6:6" x14ac:dyDescent="0.25">
      <c r="F636" s="12" t="str">
        <f>IFERROR(VLOOKUP(E636,'Data sheet'!$B:$C,2,0),"")</f>
        <v/>
      </c>
    </row>
    <row r="637" spans="6:6" x14ac:dyDescent="0.25">
      <c r="F637" s="12" t="str">
        <f>IFERROR(VLOOKUP(E637,'Data sheet'!$B:$C,2,0),"")</f>
        <v/>
      </c>
    </row>
    <row r="638" spans="6:6" x14ac:dyDescent="0.25">
      <c r="F638" s="12" t="str">
        <f>IFERROR(VLOOKUP(E638,'Data sheet'!$B:$C,2,0),"")</f>
        <v/>
      </c>
    </row>
    <row r="639" spans="6:6" x14ac:dyDescent="0.25">
      <c r="F639" s="12" t="str">
        <f>IFERROR(VLOOKUP(E639,'Data sheet'!$B:$C,2,0),"")</f>
        <v/>
      </c>
    </row>
    <row r="640" spans="6:6" x14ac:dyDescent="0.25">
      <c r="F640" s="12" t="str">
        <f>IFERROR(VLOOKUP(E640,'Data sheet'!$B:$C,2,0),"")</f>
        <v/>
      </c>
    </row>
    <row r="641" spans="6:6" x14ac:dyDescent="0.25">
      <c r="F641" s="12" t="str">
        <f>IFERROR(VLOOKUP(E641,'Data sheet'!$B:$C,2,0),"")</f>
        <v/>
      </c>
    </row>
    <row r="642" spans="6:6" x14ac:dyDescent="0.25">
      <c r="F642" s="12" t="str">
        <f>IFERROR(VLOOKUP(E642,'Data sheet'!$B:$C,2,0),"")</f>
        <v/>
      </c>
    </row>
    <row r="643" spans="6:6" x14ac:dyDescent="0.25">
      <c r="F643" s="12" t="str">
        <f>IFERROR(VLOOKUP(E643,'Data sheet'!$B:$C,2,0),"")</f>
        <v/>
      </c>
    </row>
    <row r="644" spans="6:6" x14ac:dyDescent="0.25">
      <c r="F644" s="12" t="str">
        <f>IFERROR(VLOOKUP(E644,'Data sheet'!$B:$C,2,0),"")</f>
        <v/>
      </c>
    </row>
    <row r="645" spans="6:6" x14ac:dyDescent="0.25">
      <c r="F645" s="12" t="str">
        <f>IFERROR(VLOOKUP(E645,'Data sheet'!$B:$C,2,0),"")</f>
        <v/>
      </c>
    </row>
    <row r="647" spans="6:6" x14ac:dyDescent="0.25">
      <c r="F647" s="12" t="str">
        <f>IFERROR(VLOOKUP(E647,'Data sheet'!$B:$C,2,0),"")</f>
        <v/>
      </c>
    </row>
    <row r="648" spans="6:6" x14ac:dyDescent="0.25">
      <c r="F648" s="12" t="str">
        <f>IFERROR(VLOOKUP(E648,'Data sheet'!$B:$C,2,0),"")</f>
        <v/>
      </c>
    </row>
    <row r="649" spans="6:6" x14ac:dyDescent="0.25">
      <c r="F649" s="12" t="str">
        <f>IFERROR(VLOOKUP(E649,'Data sheet'!$B:$C,2,0),"")</f>
        <v/>
      </c>
    </row>
    <row r="650" spans="6:6" x14ac:dyDescent="0.25">
      <c r="F650" s="12" t="str">
        <f>IFERROR(VLOOKUP(E650,'Data sheet'!$B:$C,2,0),"")</f>
        <v/>
      </c>
    </row>
    <row r="651" spans="6:6" x14ac:dyDescent="0.25">
      <c r="F651" s="12" t="str">
        <f>IFERROR(VLOOKUP(E651,'Data sheet'!$B:$C,2,0),"")</f>
        <v/>
      </c>
    </row>
    <row r="652" spans="6:6" x14ac:dyDescent="0.25">
      <c r="F652" s="12" t="str">
        <f>IFERROR(VLOOKUP(E652,'Data sheet'!$B:$C,2,0),"")</f>
        <v/>
      </c>
    </row>
    <row r="653" spans="6:6" x14ac:dyDescent="0.25">
      <c r="F653" s="12" t="str">
        <f>IFERROR(VLOOKUP(E653,'Data sheet'!$B:$C,2,0),"")</f>
        <v/>
      </c>
    </row>
    <row r="654" spans="6:6" x14ac:dyDescent="0.25">
      <c r="F654" s="12" t="str">
        <f>IFERROR(VLOOKUP(E654,'Data sheet'!$B:$C,2),"")</f>
        <v/>
      </c>
    </row>
    <row r="655" spans="6:6" x14ac:dyDescent="0.25">
      <c r="F655" s="12" t="str">
        <f>IFERROR(VLOOKUP(E655,'Data sheet'!$B:$C,2),"")</f>
        <v/>
      </c>
    </row>
    <row r="656" spans="6:6" x14ac:dyDescent="0.25">
      <c r="F656" s="12" t="str">
        <f>IFERROR(VLOOKUP(E656,'Data sheet'!$B:$C,2),"")</f>
        <v/>
      </c>
    </row>
    <row r="657" spans="6:6" x14ac:dyDescent="0.25">
      <c r="F657" s="12" t="str">
        <f>IFERROR(VLOOKUP(E657,'Data sheet'!$B:$C,2),"")</f>
        <v/>
      </c>
    </row>
    <row r="658" spans="6:6" x14ac:dyDescent="0.25">
      <c r="F658" s="12" t="str">
        <f>IFERROR(VLOOKUP(E658,'Data sheet'!$B:$C,2),"")</f>
        <v/>
      </c>
    </row>
    <row r="659" spans="6:6" x14ac:dyDescent="0.25">
      <c r="F659" s="12" t="str">
        <f>IFERROR(VLOOKUP(E659,'Data sheet'!$B:$C,2),"")</f>
        <v/>
      </c>
    </row>
    <row r="660" spans="6:6" x14ac:dyDescent="0.25">
      <c r="F660" s="12" t="str">
        <f>IFERROR(VLOOKUP(E660,'Data sheet'!$B:$C,2),"")</f>
        <v/>
      </c>
    </row>
    <row r="661" spans="6:6" x14ac:dyDescent="0.25">
      <c r="F661" s="12" t="str">
        <f>IFERROR(VLOOKUP(E661,'Data sheet'!$B:$C,2),"")</f>
        <v/>
      </c>
    </row>
    <row r="662" spans="6:6" x14ac:dyDescent="0.25">
      <c r="F662" s="12" t="str">
        <f>IFERROR(VLOOKUP(E662,'Data sheet'!$B:$C,2),"")</f>
        <v/>
      </c>
    </row>
    <row r="663" spans="6:6" x14ac:dyDescent="0.25">
      <c r="F663" s="12" t="str">
        <f>IFERROR(VLOOKUP(E663,'Data sheet'!$B:$C,2),"")</f>
        <v/>
      </c>
    </row>
    <row r="667" spans="6:6" x14ac:dyDescent="0.25">
      <c r="F667" s="12" t="str">
        <f>IFERROR(VLOOKUP(E667,'Data sheet'!$B:$C,2),"")</f>
        <v/>
      </c>
    </row>
    <row r="668" spans="6:6" x14ac:dyDescent="0.25">
      <c r="F668" s="12" t="str">
        <f>IFERROR(VLOOKUP(E668,'Data sheet'!$B:$C,2),"")</f>
        <v/>
      </c>
    </row>
    <row r="669" spans="6:6" x14ac:dyDescent="0.25">
      <c r="F669" s="12" t="str">
        <f>IFERROR(VLOOKUP(E669,'Data sheet'!$B:$C,2),"")</f>
        <v/>
      </c>
    </row>
    <row r="670" spans="6:6" x14ac:dyDescent="0.25">
      <c r="F670" s="12" t="str">
        <f>IFERROR(VLOOKUP(E670,'Data sheet'!$B:$C,2),"")</f>
        <v/>
      </c>
    </row>
    <row r="671" spans="6:6" x14ac:dyDescent="0.25">
      <c r="F671" s="12" t="str">
        <f>IFERROR(VLOOKUP(E671,'Data sheet'!$B:$C,2),"")</f>
        <v/>
      </c>
    </row>
    <row r="672" spans="6:6" x14ac:dyDescent="0.25">
      <c r="F672" s="12" t="str">
        <f>IFERROR(VLOOKUP(E672,'Data sheet'!$B:$C,2),"")</f>
        <v/>
      </c>
    </row>
    <row r="673" spans="6:6" x14ac:dyDescent="0.25">
      <c r="F673" s="12" t="str">
        <f>IFERROR(VLOOKUP(E673,'Data sheet'!$B:$C,2),"")</f>
        <v/>
      </c>
    </row>
    <row r="674" spans="6:6" x14ac:dyDescent="0.25">
      <c r="F674" s="12" t="str">
        <f>IFERROR(VLOOKUP(E674,'Data sheet'!$B:$C,2),"")</f>
        <v/>
      </c>
    </row>
    <row r="675" spans="6:6" x14ac:dyDescent="0.25">
      <c r="F675" s="12" t="str">
        <f>IFERROR(VLOOKUP(E675,'Data sheet'!$B:$C,2),"")</f>
        <v/>
      </c>
    </row>
    <row r="676" spans="6:6" x14ac:dyDescent="0.25">
      <c r="F676" s="12" t="str">
        <f>IFERROR(VLOOKUP(E676,'Data sheet'!$B:$C,2),"")</f>
        <v/>
      </c>
    </row>
    <row r="677" spans="6:6" x14ac:dyDescent="0.25">
      <c r="F677" s="12" t="str">
        <f>IFERROR(VLOOKUP(E677,'Data sheet'!$B:$C,2),"")</f>
        <v/>
      </c>
    </row>
    <row r="678" spans="6:6" x14ac:dyDescent="0.25">
      <c r="F678" s="12" t="str">
        <f>IFERROR(VLOOKUP(E678,'Data sheet'!$B:$C,2),"")</f>
        <v/>
      </c>
    </row>
    <row r="679" spans="6:6" x14ac:dyDescent="0.25">
      <c r="F679" s="12" t="str">
        <f>IFERROR(VLOOKUP(E679,'Data sheet'!$B:$C,2),"")</f>
        <v/>
      </c>
    </row>
    <row r="680" spans="6:6" x14ac:dyDescent="0.25">
      <c r="F680" s="12" t="str">
        <f>IFERROR(VLOOKUP(E680,'Data sheet'!$B:$C,2),"")</f>
        <v/>
      </c>
    </row>
    <row r="681" spans="6:6" x14ac:dyDescent="0.25">
      <c r="F681" s="12" t="str">
        <f>IFERROR(VLOOKUP(E681,'Data sheet'!$B:$C,2),"")</f>
        <v/>
      </c>
    </row>
    <row r="682" spans="6:6" x14ac:dyDescent="0.25">
      <c r="F682" s="12" t="str">
        <f>IFERROR(VLOOKUP(E682,'Data sheet'!$B:$C,2),"")</f>
        <v/>
      </c>
    </row>
    <row r="683" spans="6:6" x14ac:dyDescent="0.25">
      <c r="F683" s="12" t="str">
        <f>IFERROR(VLOOKUP(E683,'Data sheet'!$B:$C,2),"")</f>
        <v/>
      </c>
    </row>
    <row r="684" spans="6:6" x14ac:dyDescent="0.25">
      <c r="F684" s="12" t="str">
        <f>IFERROR(VLOOKUP(E684,'Data sheet'!$B:$C,2),"")</f>
        <v/>
      </c>
    </row>
    <row r="685" spans="6:6" x14ac:dyDescent="0.25">
      <c r="F685" s="12" t="str">
        <f>IFERROR(VLOOKUP(E685,'Data sheet'!$B:$C,2),"")</f>
        <v/>
      </c>
    </row>
    <row r="686" spans="6:6" x14ac:dyDescent="0.25">
      <c r="F686" s="12" t="str">
        <f>IFERROR(VLOOKUP(E686,'Data sheet'!$B:$C,2),"")</f>
        <v/>
      </c>
    </row>
    <row r="687" spans="6:6" x14ac:dyDescent="0.25">
      <c r="F687" s="12" t="str">
        <f>IFERROR(VLOOKUP(E687,'Data sheet'!$B:$C,2),"")</f>
        <v/>
      </c>
    </row>
    <row r="688" spans="6:6" x14ac:dyDescent="0.25">
      <c r="F688" s="12" t="str">
        <f>IFERROR(VLOOKUP(E688,'Data sheet'!$B:$C,2),"")</f>
        <v/>
      </c>
    </row>
    <row r="689" spans="6:6" x14ac:dyDescent="0.25">
      <c r="F689" s="12" t="str">
        <f>IFERROR(VLOOKUP(E689,'Data sheet'!$B:$C,2),"")</f>
        <v/>
      </c>
    </row>
    <row r="690" spans="6:6" x14ac:dyDescent="0.25">
      <c r="F690" s="12" t="str">
        <f>IFERROR(VLOOKUP(E690,'Data sheet'!$B:$C,2),"")</f>
        <v/>
      </c>
    </row>
    <row r="691" spans="6:6" x14ac:dyDescent="0.25">
      <c r="F691" s="12" t="str">
        <f>IFERROR(VLOOKUP(E691,'Data sheet'!$B:$C,2),"")</f>
        <v/>
      </c>
    </row>
    <row r="692" spans="6:6" x14ac:dyDescent="0.25">
      <c r="F692" s="12" t="str">
        <f>IFERROR(VLOOKUP(E692,'Data sheet'!$B:$C,2),"")</f>
        <v/>
      </c>
    </row>
    <row r="693" spans="6:6" x14ac:dyDescent="0.25">
      <c r="F693" s="12" t="str">
        <f>IFERROR(VLOOKUP(E693,'Data sheet'!$B:$C,2),"")</f>
        <v/>
      </c>
    </row>
    <row r="694" spans="6:6" x14ac:dyDescent="0.25">
      <c r="F694" s="12" t="str">
        <f>IFERROR(VLOOKUP(E694,'Data sheet'!$B:$C,2),"")</f>
        <v/>
      </c>
    </row>
    <row r="695" spans="6:6" x14ac:dyDescent="0.25">
      <c r="F695" s="12" t="str">
        <f>IFERROR(VLOOKUP(E695,'Data sheet'!$B:$C,2),"")</f>
        <v/>
      </c>
    </row>
    <row r="696" spans="6:6" x14ac:dyDescent="0.25">
      <c r="F696" s="12" t="str">
        <f>IFERROR(VLOOKUP(E696,'Data sheet'!$B:$C,2),"")</f>
        <v/>
      </c>
    </row>
    <row r="697" spans="6:6" x14ac:dyDescent="0.25">
      <c r="F697" s="12" t="str">
        <f>IFERROR(VLOOKUP(E697,'Data sheet'!$B:$C,2),"")</f>
        <v/>
      </c>
    </row>
    <row r="698" spans="6:6" x14ac:dyDescent="0.25">
      <c r="F698" s="12" t="str">
        <f>IFERROR(VLOOKUP(E698,'Data sheet'!$B:$C,2),"")</f>
        <v/>
      </c>
    </row>
    <row r="699" spans="6:6" x14ac:dyDescent="0.25">
      <c r="F699" s="12" t="str">
        <f>IFERROR(VLOOKUP(E699,'Data sheet'!$B:$C,2),"")</f>
        <v/>
      </c>
    </row>
    <row r="700" spans="6:6" x14ac:dyDescent="0.25">
      <c r="F700" s="12" t="str">
        <f>IFERROR(VLOOKUP(E700,'Data sheet'!$B:$C,2),"")</f>
        <v/>
      </c>
    </row>
    <row r="701" spans="6:6" x14ac:dyDescent="0.25">
      <c r="F701" s="12" t="str">
        <f>IFERROR(VLOOKUP(E701,'Data sheet'!$B:$C,2),"")</f>
        <v/>
      </c>
    </row>
    <row r="702" spans="6:6" x14ac:dyDescent="0.25">
      <c r="F702" s="12" t="str">
        <f>IFERROR(VLOOKUP(E702,'Data sheet'!$B:$C,2),"")</f>
        <v/>
      </c>
    </row>
    <row r="703" spans="6:6" x14ac:dyDescent="0.25">
      <c r="F703" s="12" t="str">
        <f>IFERROR(VLOOKUP(E703,'Data sheet'!$B:$C,2),"")</f>
        <v/>
      </c>
    </row>
    <row r="704" spans="6:6" x14ac:dyDescent="0.25">
      <c r="F704" s="12" t="str">
        <f>IFERROR(VLOOKUP(E704,'Data sheet'!$B:$C,2),"")</f>
        <v/>
      </c>
    </row>
    <row r="705" spans="6:6" x14ac:dyDescent="0.25">
      <c r="F705" s="12" t="str">
        <f>IFERROR(VLOOKUP(E705,'Data sheet'!$B:$C,2),"")</f>
        <v/>
      </c>
    </row>
    <row r="706" spans="6:6" x14ac:dyDescent="0.25">
      <c r="F706" s="12" t="str">
        <f>IFERROR(VLOOKUP(E706,'Data sheet'!$B:$C,2),"")</f>
        <v/>
      </c>
    </row>
    <row r="707" spans="6:6" x14ac:dyDescent="0.25">
      <c r="F707" s="12" t="str">
        <f>IFERROR(VLOOKUP(E707,'Data sheet'!$B:$C,2),"")</f>
        <v/>
      </c>
    </row>
    <row r="708" spans="6:6" x14ac:dyDescent="0.25">
      <c r="F708" s="12" t="str">
        <f>IFERROR(VLOOKUP(E708,'Data sheet'!$B:$C,2),"")</f>
        <v/>
      </c>
    </row>
    <row r="709" spans="6:6" x14ac:dyDescent="0.25">
      <c r="F709" s="12" t="str">
        <f>IFERROR(VLOOKUP(E709,'Data sheet'!$B:$C,2),"")</f>
        <v/>
      </c>
    </row>
    <row r="710" spans="6:6" x14ac:dyDescent="0.25">
      <c r="F710" s="12" t="str">
        <f>IFERROR(VLOOKUP(E710,'Data sheet'!$B:$C,2),"")</f>
        <v/>
      </c>
    </row>
    <row r="711" spans="6:6" x14ac:dyDescent="0.25">
      <c r="F711" s="12" t="str">
        <f>IFERROR(VLOOKUP(E711,'Data sheet'!$B:$C,2),"")</f>
        <v/>
      </c>
    </row>
    <row r="712" spans="6:6" x14ac:dyDescent="0.25">
      <c r="F712" s="12" t="str">
        <f>IFERROR(VLOOKUP(E712,'Data sheet'!$B:$C,2),"")</f>
        <v/>
      </c>
    </row>
    <row r="713" spans="6:6" x14ac:dyDescent="0.25">
      <c r="F713" s="12" t="str">
        <f>IFERROR(VLOOKUP(E713,'Data sheet'!$B:$C,2),"")</f>
        <v/>
      </c>
    </row>
    <row r="714" spans="6:6" x14ac:dyDescent="0.25">
      <c r="F714" s="12" t="str">
        <f>IFERROR(VLOOKUP(E714,'Data sheet'!$B:$C,2),"")</f>
        <v/>
      </c>
    </row>
    <row r="715" spans="6:6" x14ac:dyDescent="0.25">
      <c r="F715" s="12" t="str">
        <f>IFERROR(VLOOKUP(E715,'Data sheet'!$B:$C,2),"")</f>
        <v/>
      </c>
    </row>
    <row r="716" spans="6:6" x14ac:dyDescent="0.25">
      <c r="F716" s="12" t="str">
        <f>IFERROR(VLOOKUP(E716,'Data sheet'!$B:$C,2),"")</f>
        <v/>
      </c>
    </row>
    <row r="717" spans="6:6" x14ac:dyDescent="0.25">
      <c r="F717" s="12" t="str">
        <f>IFERROR(VLOOKUP(E717,'Data sheet'!$B:$C,2),"")</f>
        <v/>
      </c>
    </row>
    <row r="718" spans="6:6" x14ac:dyDescent="0.25">
      <c r="F718" s="12" t="str">
        <f>IFERROR(VLOOKUP(E718,'Data sheet'!$B:$C,2),"")</f>
        <v/>
      </c>
    </row>
    <row r="719" spans="6:6" x14ac:dyDescent="0.25">
      <c r="F719" s="12" t="str">
        <f>IFERROR(VLOOKUP(E719,'Data sheet'!$B:$C,2),"")</f>
        <v/>
      </c>
    </row>
    <row r="720" spans="6:6" x14ac:dyDescent="0.25">
      <c r="F720" s="12" t="str">
        <f>IFERROR(VLOOKUP(E720,'Data sheet'!$B:$C,2),"")</f>
        <v/>
      </c>
    </row>
    <row r="721" spans="6:6" x14ac:dyDescent="0.25">
      <c r="F721" s="12" t="str">
        <f>IFERROR(VLOOKUP(E721,'Data sheet'!$B:$C,2),"")</f>
        <v/>
      </c>
    </row>
    <row r="722" spans="6:6" x14ac:dyDescent="0.25">
      <c r="F722" s="12" t="str">
        <f>IFERROR(VLOOKUP(E722,'Data sheet'!$B:$C,2),"")</f>
        <v/>
      </c>
    </row>
    <row r="723" spans="6:6" x14ac:dyDescent="0.25">
      <c r="F723" s="12" t="str">
        <f>IFERROR(VLOOKUP(E723,'Data sheet'!$B:$C,2),"")</f>
        <v/>
      </c>
    </row>
    <row r="724" spans="6:6" x14ac:dyDescent="0.25">
      <c r="F724" s="12" t="str">
        <f>IFERROR(VLOOKUP(E724,'Data sheet'!$B:$C,2),"")</f>
        <v/>
      </c>
    </row>
    <row r="725" spans="6:6" x14ac:dyDescent="0.25">
      <c r="F725" s="12" t="str">
        <f>IFERROR(VLOOKUP(E725,'Data sheet'!$B:$C,2),"")</f>
        <v/>
      </c>
    </row>
    <row r="726" spans="6:6" x14ac:dyDescent="0.25">
      <c r="F726" s="12" t="str">
        <f>IFERROR(VLOOKUP(E726,'Data sheet'!$B:$C,2),"")</f>
        <v/>
      </c>
    </row>
    <row r="727" spans="6:6" x14ac:dyDescent="0.25">
      <c r="F727" s="12" t="str">
        <f>IFERROR(VLOOKUP(E727,'Data sheet'!$B:$C,2),"")</f>
        <v/>
      </c>
    </row>
    <row r="728" spans="6:6" x14ac:dyDescent="0.25">
      <c r="F728" s="12" t="str">
        <f>IFERROR(VLOOKUP(E728,'Data sheet'!$B:$C,2),"")</f>
        <v/>
      </c>
    </row>
  </sheetData>
  <customSheetViews>
    <customSheetView guid="{0459E885-E56D-4233-A463-CDACB82F3A71}" state="hidden">
      <selection activeCell="E36" sqref="E36"/>
      <pageMargins left="0.7" right="0.7" top="0.75" bottom="0.75" header="0.3" footer="0.3"/>
      <pageSetup paperSize="9" orientation="portrait" r:id="rId1"/>
    </customSheetView>
    <customSheetView guid="{D31A0C38-2BF3-428E-8B63-7EF803410846}" state="hidden">
      <selection activeCell="C20" sqref="C20"/>
      <pageMargins left="0.7" right="0.7" top="0.75" bottom="0.75" header="0.3" footer="0.3"/>
    </customSheetView>
    <customSheetView guid="{39AFBFEA-9E3B-4D39-9A52-E97212B04C3B}">
      <selection activeCell="A17" sqref="A17"/>
      <pageMargins left="0.7" right="0.7" top="0.75" bottom="0.75" header="0.3" footer="0.3"/>
    </customSheetView>
    <customSheetView guid="{5E4851DA-2CDD-4E0B-A9F2-CF05D4206F60}">
      <selection activeCell="E1" sqref="E1"/>
      <pageMargins left="0.7" right="0.7" top="0.75" bottom="0.75" header="0.3" footer="0.3"/>
    </customSheetView>
    <customSheetView guid="{CAAB4857-130C-45CF-BDB7-F4543166DC3F}">
      <selection activeCell="E1" sqref="E1"/>
      <pageMargins left="0.7" right="0.7" top="0.75" bottom="0.75" header="0.3" footer="0.3"/>
    </customSheetView>
    <customSheetView guid="{E72D1D85-DDEA-47FF-9C0A-B8A16DD802DE}" state="hidden">
      <selection activeCell="E36" sqref="E36"/>
      <pageMargins left="0.7" right="0.7" top="0.75" bottom="0.75" header="0.3" footer="0.3"/>
      <pageSetup paperSize="9" orientation="portrait" r:id="rId2"/>
    </customSheetView>
  </customSheetViews>
  <dataValidations count="3">
    <dataValidation type="list" allowBlank="1" showInputMessage="1" showErrorMessage="1" sqref="D2:D668">
      <formula1>IF(C2="Status Meeting",INDIRECT(C2),(IF(C2="MISC",INDIRECT(C2),INDIRECT("ProjectPhase"))))</formula1>
    </dataValidation>
    <dataValidation type="list" allowBlank="1" showInputMessage="1" showErrorMessage="1" sqref="E2:E668">
      <formula1>IF(C2="MISC","",INDIRECT(C2))</formula1>
    </dataValidation>
    <dataValidation type="list" allowBlank="1" showInputMessage="1" showErrorMessage="1" sqref="C2:C668">
      <formula1>Activity</formula1>
    </dataValidation>
  </dataValidations>
  <pageMargins left="0.7" right="0.7" top="0.75" bottom="0.75" header="0.3" footer="0.3"/>
  <pageSetup paperSize="9"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0"/>
  <sheetViews>
    <sheetView topLeftCell="A28" workbookViewId="0">
      <selection activeCell="B49" sqref="B49"/>
    </sheetView>
  </sheetViews>
  <sheetFormatPr defaultRowHeight="15" x14ac:dyDescent="0.25"/>
  <cols>
    <col min="1" max="1" width="30.28515625" customWidth="1"/>
    <col min="2" max="2" width="28.140625" customWidth="1"/>
    <col min="3" max="3" width="19.28515625" customWidth="1"/>
    <col min="4" max="4" width="33.85546875" customWidth="1"/>
  </cols>
  <sheetData>
    <row r="1" spans="1:5" ht="15.75" thickBot="1" x14ac:dyDescent="0.3">
      <c r="A1" s="65" t="s">
        <v>2</v>
      </c>
      <c r="B1" s="66" t="s">
        <v>4</v>
      </c>
      <c r="C1" s="67" t="s">
        <v>3</v>
      </c>
      <c r="D1" s="65"/>
      <c r="E1" s="65"/>
    </row>
    <row r="2" spans="1:5" s="12" customFormat="1" x14ac:dyDescent="0.25">
      <c r="A2" s="68" t="s">
        <v>8</v>
      </c>
      <c r="B2" s="8" t="s">
        <v>193</v>
      </c>
      <c r="C2" s="64" t="s">
        <v>3</v>
      </c>
      <c r="D2" s="8"/>
      <c r="E2" s="69"/>
    </row>
    <row r="3" spans="1:5" s="12" customFormat="1" x14ac:dyDescent="0.25">
      <c r="A3" s="70"/>
      <c r="B3" s="8" t="s">
        <v>194</v>
      </c>
      <c r="C3" s="64"/>
      <c r="D3" s="8"/>
      <c r="E3" s="69"/>
    </row>
    <row r="4" spans="1:5" s="12" customFormat="1" x14ac:dyDescent="0.25">
      <c r="A4" s="70"/>
      <c r="B4" s="8" t="s">
        <v>71</v>
      </c>
      <c r="C4" s="64"/>
      <c r="D4" s="8"/>
      <c r="E4" s="69"/>
    </row>
    <row r="5" spans="1:5" s="12" customFormat="1" x14ac:dyDescent="0.25">
      <c r="A5" s="70"/>
      <c r="B5" s="23" t="s">
        <v>195</v>
      </c>
      <c r="C5" s="64"/>
      <c r="D5" s="8"/>
      <c r="E5" s="69"/>
    </row>
    <row r="6" spans="1:5" s="12" customFormat="1" x14ac:dyDescent="0.25">
      <c r="A6" s="70"/>
      <c r="B6" s="23" t="s">
        <v>196</v>
      </c>
      <c r="C6" s="64"/>
      <c r="D6" s="8"/>
      <c r="E6" s="69"/>
    </row>
    <row r="7" spans="1:5" s="12" customFormat="1" x14ac:dyDescent="0.25">
      <c r="A7" s="70"/>
      <c r="B7" s="23" t="s">
        <v>73</v>
      </c>
      <c r="C7" s="64"/>
      <c r="D7" s="8" t="s">
        <v>200</v>
      </c>
      <c r="E7" s="69" t="s">
        <v>66</v>
      </c>
    </row>
    <row r="8" spans="1:5" s="12" customFormat="1" x14ac:dyDescent="0.25">
      <c r="A8" s="70"/>
      <c r="B8" s="23" t="s">
        <v>197</v>
      </c>
      <c r="C8" s="64"/>
      <c r="D8" s="8"/>
      <c r="E8" s="69"/>
    </row>
    <row r="9" spans="1:5" s="12" customFormat="1" x14ac:dyDescent="0.25">
      <c r="A9" s="70"/>
      <c r="B9" s="23" t="s">
        <v>198</v>
      </c>
      <c r="C9" s="64"/>
      <c r="D9" s="8"/>
      <c r="E9" s="69"/>
    </row>
    <row r="10" spans="1:5" s="12" customFormat="1" x14ac:dyDescent="0.25">
      <c r="A10" s="70"/>
      <c r="B10" s="23" t="s">
        <v>75</v>
      </c>
      <c r="C10" s="64"/>
      <c r="D10" s="8"/>
      <c r="E10" s="69"/>
    </row>
    <row r="11" spans="1:5" s="12" customFormat="1" x14ac:dyDescent="0.25">
      <c r="A11" s="70"/>
      <c r="B11" s="23" t="s">
        <v>199</v>
      </c>
      <c r="C11" s="64"/>
      <c r="D11" s="8"/>
      <c r="E11" s="69"/>
    </row>
    <row r="12" spans="1:5" s="12" customFormat="1" x14ac:dyDescent="0.25">
      <c r="A12" s="68" t="s">
        <v>9</v>
      </c>
      <c r="B12" s="8" t="s">
        <v>193</v>
      </c>
      <c r="C12" s="64" t="s">
        <v>3</v>
      </c>
      <c r="D12" s="8"/>
      <c r="E12" s="69"/>
    </row>
    <row r="13" spans="1:5" x14ac:dyDescent="0.25">
      <c r="A13" s="70"/>
      <c r="B13" s="8" t="s">
        <v>194</v>
      </c>
      <c r="C13" s="64"/>
      <c r="D13" s="8"/>
      <c r="E13" s="69"/>
    </row>
    <row r="14" spans="1:5" x14ac:dyDescent="0.25">
      <c r="A14" s="70"/>
      <c r="B14" s="8" t="s">
        <v>71</v>
      </c>
      <c r="C14" s="64"/>
      <c r="D14" s="8"/>
      <c r="E14" s="69"/>
    </row>
    <row r="15" spans="1:5" x14ac:dyDescent="0.25">
      <c r="A15" s="70"/>
      <c r="B15" s="23" t="s">
        <v>195</v>
      </c>
      <c r="C15" s="64"/>
      <c r="D15" s="8"/>
      <c r="E15" s="69"/>
    </row>
    <row r="16" spans="1:5" x14ac:dyDescent="0.25">
      <c r="A16" s="70"/>
      <c r="B16" s="23" t="s">
        <v>196</v>
      </c>
      <c r="C16" s="64"/>
      <c r="D16" s="8"/>
      <c r="E16" s="69"/>
    </row>
    <row r="17" spans="1:5" x14ac:dyDescent="0.25">
      <c r="A17" s="70"/>
      <c r="B17" s="23" t="s">
        <v>73</v>
      </c>
      <c r="C17" s="64"/>
      <c r="D17" s="8"/>
      <c r="E17" s="69"/>
    </row>
    <row r="18" spans="1:5" x14ac:dyDescent="0.25">
      <c r="A18" s="70"/>
      <c r="B18" s="23" t="s">
        <v>197</v>
      </c>
      <c r="C18" s="64"/>
      <c r="D18" s="8"/>
      <c r="E18" s="69"/>
    </row>
    <row r="19" spans="1:5" x14ac:dyDescent="0.25">
      <c r="A19" s="70"/>
      <c r="B19" s="23" t="s">
        <v>198</v>
      </c>
      <c r="C19" s="64"/>
      <c r="D19" s="8"/>
      <c r="E19" s="69"/>
    </row>
    <row r="20" spans="1:5" x14ac:dyDescent="0.25">
      <c r="A20" s="70"/>
      <c r="B20" s="23" t="s">
        <v>75</v>
      </c>
      <c r="C20" s="64"/>
      <c r="D20" s="8"/>
      <c r="E20" s="69"/>
    </row>
    <row r="21" spans="1:5" x14ac:dyDescent="0.25">
      <c r="A21" s="70"/>
      <c r="B21" s="23" t="s">
        <v>199</v>
      </c>
      <c r="C21" s="64"/>
      <c r="D21" s="8"/>
      <c r="E21" s="69"/>
    </row>
    <row r="22" spans="1:5" s="12" customFormat="1" x14ac:dyDescent="0.25">
      <c r="A22" s="68" t="s">
        <v>10</v>
      </c>
      <c r="B22" s="8" t="s">
        <v>193</v>
      </c>
      <c r="C22" s="64" t="s">
        <v>3</v>
      </c>
      <c r="D22" s="8"/>
      <c r="E22" s="69"/>
    </row>
    <row r="23" spans="1:5" x14ac:dyDescent="0.25">
      <c r="A23" s="70"/>
      <c r="B23" s="8" t="s">
        <v>194</v>
      </c>
      <c r="C23" s="8"/>
      <c r="D23" s="8"/>
      <c r="E23" s="69"/>
    </row>
    <row r="24" spans="1:5" x14ac:dyDescent="0.25">
      <c r="A24" s="70"/>
      <c r="B24" s="8" t="s">
        <v>71</v>
      </c>
      <c r="C24" s="8"/>
      <c r="D24" s="8"/>
      <c r="E24" s="69"/>
    </row>
    <row r="25" spans="1:5" x14ac:dyDescent="0.25">
      <c r="A25" s="70"/>
      <c r="B25" s="23" t="s">
        <v>195</v>
      </c>
      <c r="C25" s="8"/>
      <c r="D25" s="8"/>
      <c r="E25" s="69"/>
    </row>
    <row r="26" spans="1:5" x14ac:dyDescent="0.25">
      <c r="A26" s="70"/>
      <c r="B26" s="23" t="s">
        <v>196</v>
      </c>
      <c r="C26" s="8"/>
      <c r="D26" s="8"/>
      <c r="E26" s="69"/>
    </row>
    <row r="27" spans="1:5" x14ac:dyDescent="0.25">
      <c r="A27" s="70"/>
      <c r="B27" s="23" t="s">
        <v>73</v>
      </c>
      <c r="C27" s="8"/>
      <c r="D27" s="8"/>
      <c r="E27" s="69"/>
    </row>
    <row r="28" spans="1:5" x14ac:dyDescent="0.25">
      <c r="A28" s="70"/>
      <c r="B28" s="23" t="s">
        <v>197</v>
      </c>
      <c r="C28" s="8"/>
      <c r="D28" s="8"/>
      <c r="E28" s="69"/>
    </row>
    <row r="29" spans="1:5" x14ac:dyDescent="0.25">
      <c r="A29" s="70"/>
      <c r="B29" s="23" t="s">
        <v>198</v>
      </c>
      <c r="C29" s="8"/>
      <c r="D29" s="8"/>
      <c r="E29" s="69"/>
    </row>
    <row r="30" spans="1:5" x14ac:dyDescent="0.25">
      <c r="A30" s="70"/>
      <c r="B30" s="23" t="s">
        <v>75</v>
      </c>
      <c r="C30" s="8"/>
      <c r="D30" s="8"/>
      <c r="E30" s="69"/>
    </row>
    <row r="31" spans="1:5" x14ac:dyDescent="0.25">
      <c r="A31" s="70"/>
      <c r="B31" s="23" t="s">
        <v>199</v>
      </c>
      <c r="C31" s="8"/>
      <c r="D31" s="8"/>
      <c r="E31" s="69"/>
    </row>
    <row r="32" spans="1:5" s="12" customFormat="1" x14ac:dyDescent="0.25">
      <c r="A32" s="68" t="s">
        <v>201</v>
      </c>
      <c r="B32" s="8" t="s">
        <v>193</v>
      </c>
      <c r="C32" s="64" t="s">
        <v>3</v>
      </c>
      <c r="D32" s="8"/>
      <c r="E32" s="69"/>
    </row>
    <row r="33" spans="1:5" x14ac:dyDescent="0.25">
      <c r="A33" s="70"/>
      <c r="B33" s="8" t="s">
        <v>194</v>
      </c>
      <c r="C33" s="8"/>
      <c r="D33" s="8"/>
      <c r="E33" s="69"/>
    </row>
    <row r="34" spans="1:5" x14ac:dyDescent="0.25">
      <c r="A34" s="70"/>
      <c r="B34" s="8" t="s">
        <v>71</v>
      </c>
      <c r="C34" s="8"/>
      <c r="D34" s="8"/>
      <c r="E34" s="69"/>
    </row>
    <row r="35" spans="1:5" x14ac:dyDescent="0.25">
      <c r="A35" s="70"/>
      <c r="B35" s="23" t="s">
        <v>195</v>
      </c>
      <c r="C35" s="8"/>
      <c r="D35" s="8"/>
      <c r="E35" s="69"/>
    </row>
    <row r="36" spans="1:5" x14ac:dyDescent="0.25">
      <c r="A36" s="70"/>
      <c r="B36" s="23" t="s">
        <v>196</v>
      </c>
      <c r="C36" s="8"/>
      <c r="D36" s="8"/>
      <c r="E36" s="69"/>
    </row>
    <row r="37" spans="1:5" x14ac:dyDescent="0.25">
      <c r="A37" s="70"/>
      <c r="B37" s="23" t="s">
        <v>73</v>
      </c>
      <c r="C37" s="8"/>
      <c r="D37" s="8"/>
      <c r="E37" s="69"/>
    </row>
    <row r="38" spans="1:5" x14ac:dyDescent="0.25">
      <c r="A38" s="70"/>
      <c r="B38" s="23" t="s">
        <v>197</v>
      </c>
      <c r="C38" s="8"/>
      <c r="D38" s="8"/>
      <c r="E38" s="69"/>
    </row>
    <row r="39" spans="1:5" x14ac:dyDescent="0.25">
      <c r="A39" s="70"/>
      <c r="B39" s="23" t="s">
        <v>198</v>
      </c>
      <c r="C39" s="8"/>
      <c r="D39" s="8"/>
      <c r="E39" s="69"/>
    </row>
    <row r="40" spans="1:5" x14ac:dyDescent="0.25">
      <c r="A40" s="70"/>
      <c r="B40" s="23" t="s">
        <v>75</v>
      </c>
      <c r="C40" s="8"/>
      <c r="D40" s="8"/>
      <c r="E40" s="69"/>
    </row>
    <row r="41" spans="1:5" x14ac:dyDescent="0.25">
      <c r="A41" s="70"/>
      <c r="B41" s="23" t="s">
        <v>199</v>
      </c>
      <c r="C41" s="8"/>
      <c r="D41" s="8"/>
      <c r="E41" s="69"/>
    </row>
    <row r="42" spans="1:5" s="12" customFormat="1" x14ac:dyDescent="0.25">
      <c r="A42" s="68" t="s">
        <v>14</v>
      </c>
      <c r="B42" s="8" t="s">
        <v>58</v>
      </c>
      <c r="C42" s="8" t="s">
        <v>58</v>
      </c>
      <c r="D42" s="8"/>
      <c r="E42" s="69"/>
    </row>
    <row r="43" spans="1:5" s="12" customFormat="1" x14ac:dyDescent="0.25">
      <c r="A43" s="70"/>
      <c r="B43" s="8" t="s">
        <v>60</v>
      </c>
      <c r="C43" s="8" t="s">
        <v>60</v>
      </c>
      <c r="D43" s="8"/>
      <c r="E43" s="69"/>
    </row>
    <row r="44" spans="1:5" s="12" customFormat="1" x14ac:dyDescent="0.25">
      <c r="A44" s="70"/>
      <c r="B44" s="8" t="s">
        <v>62</v>
      </c>
      <c r="C44" s="8" t="s">
        <v>202</v>
      </c>
      <c r="D44" s="8"/>
      <c r="E44" s="69"/>
    </row>
    <row r="45" spans="1:5" s="12" customFormat="1" x14ac:dyDescent="0.25">
      <c r="A45" s="70"/>
      <c r="B45" s="8" t="s">
        <v>145</v>
      </c>
      <c r="C45" s="8" t="s">
        <v>145</v>
      </c>
      <c r="D45" s="8"/>
      <c r="E45" s="69"/>
    </row>
    <row r="46" spans="1:5" s="12" customFormat="1" x14ac:dyDescent="0.25">
      <c r="A46" s="70"/>
      <c r="B46" s="8" t="s">
        <v>123</v>
      </c>
      <c r="C46" s="8" t="s">
        <v>123</v>
      </c>
      <c r="D46" s="8"/>
      <c r="E46" s="69"/>
    </row>
    <row r="47" spans="1:5" s="12" customFormat="1" x14ac:dyDescent="0.25">
      <c r="A47" s="70"/>
      <c r="B47" s="8" t="s">
        <v>11</v>
      </c>
      <c r="C47" s="8" t="s">
        <v>11</v>
      </c>
      <c r="D47" s="8"/>
      <c r="E47" s="69"/>
    </row>
    <row r="48" spans="1:5" s="12" customFormat="1" x14ac:dyDescent="0.25">
      <c r="A48" s="70"/>
      <c r="B48" s="8" t="s">
        <v>61</v>
      </c>
      <c r="C48" s="8" t="s">
        <v>61</v>
      </c>
      <c r="D48" s="8"/>
      <c r="E48" s="69"/>
    </row>
    <row r="49" spans="1:5" s="12" customFormat="1" x14ac:dyDescent="0.25">
      <c r="A49" s="70"/>
      <c r="B49" s="8" t="s">
        <v>13</v>
      </c>
      <c r="C49" s="8" t="s">
        <v>13</v>
      </c>
      <c r="D49" s="8"/>
      <c r="E49" s="69"/>
    </row>
    <row r="50" spans="1:5" s="12" customFormat="1" ht="15.75" thickBot="1" x14ac:dyDescent="0.3">
      <c r="A50" s="71" t="s">
        <v>203</v>
      </c>
      <c r="B50" s="72" t="s">
        <v>204</v>
      </c>
      <c r="C50" s="72"/>
      <c r="D50" s="72"/>
      <c r="E50" s="73"/>
    </row>
  </sheetData>
  <customSheetViews>
    <customSheetView guid="{0459E885-E56D-4233-A463-CDACB82F3A71}" topLeftCell="A28">
      <selection activeCell="B49" sqref="B49"/>
      <pageMargins left="0.7" right="0.7" top="0.75" bottom="0.75" header="0.3" footer="0.3"/>
      <pageSetup paperSize="9" orientation="portrait" r:id="rId1"/>
    </customSheetView>
    <customSheetView guid="{D31A0C38-2BF3-428E-8B63-7EF803410846}">
      <selection activeCell="G3" sqref="G3"/>
      <pageMargins left="0.7" right="0.7" top="0.75" bottom="0.75" header="0.3" footer="0.3"/>
      <pageSetup paperSize="9" orientation="portrait" r:id="rId2"/>
    </customSheetView>
    <customSheetView guid="{E72D1D85-DDEA-47FF-9C0A-B8A16DD802DE}" topLeftCell="A28">
      <selection activeCell="B49" sqref="B49"/>
      <pageMargins left="0.7" right="0.7" top="0.75" bottom="0.75" header="0.3" footer="0.3"/>
      <pageSetup paperSize="9" orientation="portrait" r:id="rId3"/>
    </customSheetView>
  </customSheetViews>
  <pageMargins left="0.7" right="0.7" top="0.75" bottom="0.75" header="0.3" footer="0.3"/>
  <pageSetup paperSize="9" orientation="portrait"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
  <sheetViews>
    <sheetView workbookViewId="0">
      <selection activeCell="B16" sqref="B16"/>
    </sheetView>
  </sheetViews>
  <sheetFormatPr defaultRowHeight="15" x14ac:dyDescent="0.25"/>
  <cols>
    <col min="1" max="1" width="16.85546875" style="12" customWidth="1"/>
    <col min="2" max="2" width="53.5703125" customWidth="1"/>
    <col min="3" max="3" width="20.7109375" customWidth="1"/>
  </cols>
  <sheetData>
    <row r="1" spans="1:7" s="12" customFormat="1" x14ac:dyDescent="0.25">
      <c r="A1" s="74" t="s">
        <v>81</v>
      </c>
      <c r="B1" s="74" t="s">
        <v>3</v>
      </c>
      <c r="C1" s="74" t="s">
        <v>207</v>
      </c>
    </row>
    <row r="2" spans="1:7" s="12" customFormat="1" x14ac:dyDescent="0.25">
      <c r="A2" s="12" t="s">
        <v>210</v>
      </c>
      <c r="B2" s="12" t="s">
        <v>166</v>
      </c>
      <c r="C2" s="23">
        <v>8</v>
      </c>
    </row>
    <row r="3" spans="1:7" x14ac:dyDescent="0.25">
      <c r="A3" s="12" t="s">
        <v>209</v>
      </c>
      <c r="B3" s="12" t="s">
        <v>32</v>
      </c>
      <c r="C3" s="12">
        <v>8</v>
      </c>
      <c r="D3" s="12"/>
      <c r="E3" s="12"/>
      <c r="F3" s="23"/>
      <c r="G3" s="12"/>
    </row>
    <row r="4" spans="1:7" s="12" customFormat="1" x14ac:dyDescent="0.25">
      <c r="A4" s="12" t="s">
        <v>190</v>
      </c>
      <c r="B4" s="12" t="s">
        <v>205</v>
      </c>
      <c r="C4" s="23">
        <v>5</v>
      </c>
      <c r="F4" s="23"/>
      <c r="G4" s="23"/>
    </row>
    <row r="5" spans="1:7" s="12" customFormat="1" x14ac:dyDescent="0.25">
      <c r="A5" s="12" t="s">
        <v>209</v>
      </c>
      <c r="B5" s="12" t="s">
        <v>21</v>
      </c>
      <c r="C5" s="12">
        <v>5</v>
      </c>
      <c r="F5" s="23"/>
      <c r="G5" s="23"/>
    </row>
    <row r="6" spans="1:7" x14ac:dyDescent="0.25">
      <c r="A6" s="12" t="s">
        <v>211</v>
      </c>
      <c r="B6" s="12" t="s">
        <v>135</v>
      </c>
      <c r="C6" s="12">
        <v>4</v>
      </c>
      <c r="D6" s="12"/>
      <c r="E6" s="12"/>
      <c r="F6" s="23"/>
      <c r="G6" s="12"/>
    </row>
    <row r="7" spans="1:7" x14ac:dyDescent="0.25">
      <c r="A7" s="12" t="s">
        <v>190</v>
      </c>
      <c r="B7" s="12" t="s">
        <v>155</v>
      </c>
      <c r="C7" s="23">
        <v>4</v>
      </c>
      <c r="D7" s="12"/>
      <c r="E7" s="12"/>
      <c r="F7" s="23"/>
      <c r="G7" s="23"/>
    </row>
    <row r="8" spans="1:7" x14ac:dyDescent="0.25">
      <c r="A8" s="12" t="s">
        <v>210</v>
      </c>
      <c r="B8" s="12" t="s">
        <v>206</v>
      </c>
      <c r="C8" s="23">
        <v>4</v>
      </c>
      <c r="D8" s="12"/>
      <c r="E8" s="12" t="str">
        <f>IFERROR(VLOOKUP(D8,'[1]Data sheet'!$B:$C,2,0),"")</f>
        <v/>
      </c>
      <c r="F8" s="23"/>
      <c r="G8" s="23"/>
    </row>
    <row r="9" spans="1:7" x14ac:dyDescent="0.25">
      <c r="A9" s="12" t="s">
        <v>190</v>
      </c>
      <c r="B9" s="12" t="s">
        <v>39</v>
      </c>
      <c r="C9" s="23">
        <v>4</v>
      </c>
      <c r="D9" s="12"/>
      <c r="E9" s="12"/>
      <c r="F9" s="23"/>
      <c r="G9" s="23"/>
    </row>
    <row r="10" spans="1:7" x14ac:dyDescent="0.25">
      <c r="A10" s="12" t="s">
        <v>212</v>
      </c>
      <c r="B10" s="12" t="s">
        <v>208</v>
      </c>
      <c r="C10" s="12">
        <v>4</v>
      </c>
      <c r="D10" s="12"/>
      <c r="E10" s="12"/>
      <c r="F10" s="23"/>
      <c r="G10" s="12"/>
    </row>
    <row r="11" spans="1:7" s="12" customFormat="1" x14ac:dyDescent="0.25">
      <c r="A11" s="12" t="s">
        <v>211</v>
      </c>
      <c r="B11" s="12" t="s">
        <v>186</v>
      </c>
      <c r="C11" s="12">
        <v>4</v>
      </c>
    </row>
  </sheetData>
  <sortState ref="B2:C12">
    <sortCondition descending="1" ref="B1"/>
  </sortState>
  <customSheetViews>
    <customSheetView guid="{0459E885-E56D-4233-A463-CDACB82F3A71}">
      <selection activeCell="B16" sqref="B16"/>
      <pageMargins left="0.7" right="0.7" top="0.75" bottom="0.75" header="0.3" footer="0.3"/>
      <pageSetup paperSize="9" orientation="portrait" r:id="rId1"/>
    </customSheetView>
    <customSheetView guid="{D31A0C38-2BF3-428E-8B63-7EF803410846}">
      <selection activeCell="B16" sqref="B16"/>
      <pageMargins left="0.7" right="0.7" top="0.75" bottom="0.75" header="0.3" footer="0.3"/>
      <pageSetup paperSize="9" orientation="portrait" r:id="rId2"/>
    </customSheetView>
    <customSheetView guid="{E72D1D85-DDEA-47FF-9C0A-B8A16DD802DE}">
      <selection activeCell="B16" sqref="B16"/>
      <pageMargins left="0.7" right="0.7" top="0.75" bottom="0.75" header="0.3" footer="0.3"/>
      <pageSetup paperSize="9" orientation="portrait" r:id="rId3"/>
    </customSheetView>
  </customSheetViews>
  <pageMargins left="0.7" right="0.7" top="0.75" bottom="0.75" header="0.3" footer="0.3"/>
  <pageSetup paperSize="9"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customSheetViews>
    <customSheetView guid="{0459E885-E56D-4233-A463-CDACB82F3A71}" state="hidden">
      <pageMargins left="0.7" right="0.7" top="0.75" bottom="0.75" header="0.3" footer="0.3"/>
    </customSheetView>
    <customSheetView guid="{D31A0C38-2BF3-428E-8B63-7EF803410846}" state="hidden">
      <pageMargins left="0.7" right="0.7" top="0.75" bottom="0.75" header="0.3" footer="0.3"/>
    </customSheetView>
    <customSheetView guid="{E72D1D85-DDEA-47FF-9C0A-B8A16DD802DE}" state="hidden">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2:XFD14" count="11">
    <row newVal="1" oldVal="2"/>
    <row newVal="2" oldVal="3"/>
    <row newVal="3" oldVal="4"/>
    <row newVal="4" oldVal="6"/>
    <row newVal="6" oldVal="7"/>
    <row newVal="7" oldVal="11"/>
    <row newVal="8" oldVal="13"/>
    <row newVal="9" oldVal="8"/>
    <row newVal="10" oldVal="9"/>
    <row newVal="11" oldVal="10"/>
    <row newVal="13" oldVal="1"/>
  </rowSortMap>
</worksheetSortMap>
</file>

<file path=xl/worksheets/wsSortMap2.xml><?xml version="1.0" encoding="utf-8"?>
<worksheetSortMap xmlns="http://schemas.microsoft.com/office/excel/2006/main">
  <rowSortMap ref="A2:XFD51" count="50">
    <row newVal="1" oldVal="19"/>
    <row newVal="2" oldVal="46"/>
    <row newVal="3" oldVal="14"/>
    <row newVal="4" oldVal="47"/>
    <row newVal="5" oldVal="1"/>
    <row newVal="6" oldVal="40"/>
    <row newVal="7" oldVal="21"/>
    <row newVal="8" oldVal="24"/>
    <row newVal="9" oldVal="32"/>
    <row newVal="10" oldVal="25"/>
    <row newVal="11" oldVal="26"/>
    <row newVal="12" oldVal="20"/>
    <row newVal="13" oldVal="9"/>
    <row newVal="14" oldVal="2"/>
    <row newVal="15" oldVal="49"/>
    <row newVal="16" oldVal="12"/>
    <row newVal="17" oldVal="11"/>
    <row newVal="18" oldVal="50"/>
    <row newVal="19" oldVal="8"/>
    <row newVal="20" oldVal="23"/>
    <row newVal="21" oldVal="7"/>
    <row newVal="22" oldVal="4"/>
    <row newVal="23" oldVal="6"/>
    <row newVal="24" oldVal="18"/>
    <row newVal="25" oldVal="13"/>
    <row newVal="26" oldVal="10"/>
    <row newVal="27" oldVal="5"/>
    <row newVal="28" oldVal="22"/>
    <row newVal="29" oldVal="16"/>
    <row newVal="30" oldVal="17"/>
    <row newVal="31" oldVal="34"/>
    <row newVal="32" oldVal="28"/>
    <row newVal="33" oldVal="29"/>
    <row newVal="34" oldVal="37"/>
    <row newVal="35" oldVal="33"/>
    <row newVal="36" oldVal="35"/>
    <row newVal="37" oldVal="3"/>
    <row newVal="38" oldVal="30"/>
    <row newVal="39" oldVal="27"/>
    <row newVal="40" oldVal="41"/>
    <row newVal="41" oldVal="15"/>
    <row newVal="42" oldVal="39"/>
    <row newVal="43" oldVal="36"/>
    <row newVal="44" oldVal="31"/>
    <row newVal="45" oldVal="38"/>
    <row newVal="46" oldVal="43"/>
    <row newVal="47" oldVal="48"/>
    <row newVal="48" oldVal="42"/>
    <row newVal="49" oldVal="44"/>
    <row newVal="50" oldVal="45"/>
  </rowSortMap>
</worksheetSortMap>
</file>

<file path=xl/worksheets/wsSortMap3.xml><?xml version="1.0" encoding="utf-8"?>
<worksheetSortMap xmlns="http://schemas.microsoft.com/office/excel/2006/main">
  <rowSortMap ref="A4:XFD12" count="8">
    <row newVal="3" oldVal="11"/>
    <row newVal="4" oldVal="10"/>
    <row newVal="5" oldVal="9"/>
    <row newVal="6" oldVal="8"/>
    <row newVal="8" oldVal="5"/>
    <row newVal="9" oldVal="6"/>
    <row newVal="10" oldVal="3"/>
    <row newVal="11" oldVal="4"/>
  </rowSortMap>
</worksheetSortMap>
</file>

<file path=xl/worksheets/wsSortMap4.xml><?xml version="1.0" encoding="utf-8"?>
<worksheetSortMap xmlns="http://schemas.microsoft.com/office/excel/2006/main">
  <rowSortMap ref="A90:XFD198" count="98">
    <row newVal="89" oldVal="149"/>
    <row newVal="90" oldVal="150"/>
    <row newVal="91" oldVal="89"/>
    <row newVal="92" oldVal="90"/>
    <row newVal="93" oldVal="91"/>
    <row newVal="94" oldVal="92"/>
    <row newVal="95" oldVal="93"/>
    <row newVal="96" oldVal="151"/>
    <row newVal="97" oldVal="152"/>
    <row newVal="98" oldVal="94"/>
    <row newVal="99" oldVal="95"/>
    <row newVal="100" oldVal="96"/>
    <row newVal="101" oldVal="97"/>
    <row newVal="102" oldVal="98"/>
    <row newVal="103" oldVal="99"/>
    <row newVal="104" oldVal="100"/>
    <row newVal="105" oldVal="101"/>
    <row newVal="106" oldVal="102"/>
    <row newVal="107" oldVal="103"/>
    <row newVal="108" oldVal="104"/>
    <row newVal="109" oldVal="105"/>
    <row newVal="110" oldVal="106"/>
    <row newVal="111" oldVal="107"/>
    <row newVal="112" oldVal="108"/>
    <row newVal="113" oldVal="109"/>
    <row newVal="114" oldVal="110"/>
    <row newVal="115" oldVal="111"/>
    <row newVal="116" oldVal="112"/>
    <row newVal="117" oldVal="113"/>
    <row newVal="118" oldVal="114"/>
    <row newVal="119" oldVal="115"/>
    <row newVal="120" oldVal="116"/>
    <row newVal="121" oldVal="117"/>
    <row newVal="122" oldVal="118"/>
    <row newVal="123" oldVal="119"/>
    <row newVal="124" oldVal="120"/>
    <row newVal="125" oldVal="121"/>
    <row newVal="126" oldVal="122"/>
    <row newVal="127" oldVal="123"/>
    <row newVal="128" oldVal="124"/>
    <row newVal="129" oldVal="125"/>
    <row newVal="130" oldVal="126"/>
    <row newVal="131" oldVal="127"/>
    <row newVal="132" oldVal="128"/>
    <row newVal="133" oldVal="129"/>
    <row newVal="134" oldVal="130"/>
    <row newVal="135" oldVal="131"/>
    <row newVal="136" oldVal="132"/>
    <row newVal="137" oldVal="133"/>
    <row newVal="138" oldVal="134"/>
    <row newVal="139" oldVal="135"/>
    <row newVal="140" oldVal="136"/>
    <row newVal="141" oldVal="137"/>
    <row newVal="142" oldVal="138"/>
    <row newVal="143" oldVal="139"/>
    <row newVal="144" oldVal="140"/>
    <row newVal="145" oldVal="141"/>
    <row newVal="146" oldVal="142"/>
    <row newVal="147" oldVal="143"/>
    <row newVal="148" oldVal="144"/>
    <row newVal="149" oldVal="145"/>
    <row newVal="150" oldVal="146"/>
    <row newVal="151" oldVal="147"/>
    <row newVal="152" oldVal="148"/>
    <row newVal="163" oldVal="184"/>
    <row newVal="164" oldVal="163"/>
    <row newVal="165" oldVal="164"/>
    <row newVal="166" oldVal="165"/>
    <row newVal="167" oldVal="166"/>
    <row newVal="168" oldVal="167"/>
    <row newVal="169" oldVal="168"/>
    <row newVal="170" oldVal="169"/>
    <row newVal="171" oldVal="170"/>
    <row newVal="172" oldVal="197"/>
    <row newVal="173" oldVal="171"/>
    <row newVal="174" oldVal="172"/>
    <row newVal="175" oldVal="173"/>
    <row newVal="176" oldVal="174"/>
    <row newVal="177" oldVal="178"/>
    <row newVal="178" oldVal="175"/>
    <row newVal="179" oldVal="176"/>
    <row newVal="180" oldVal="177"/>
    <row newVal="181" oldVal="179"/>
    <row newVal="182" oldVal="180"/>
    <row newVal="183" oldVal="181"/>
    <row newVal="184" oldVal="182"/>
    <row newVal="185" oldVal="183"/>
    <row newVal="186" oldVal="193"/>
    <row newVal="187" oldVal="185"/>
    <row newVal="188" oldVal="186"/>
    <row newVal="189" oldVal="187"/>
    <row newVal="190" oldVal="188"/>
    <row newVal="191" oldVal="194"/>
    <row newVal="192" oldVal="189"/>
    <row newVal="193" oldVal="190"/>
    <row newVal="194" oldVal="191"/>
    <row newVal="196" oldVal="192"/>
    <row newVal="197" oldVal="196"/>
  </rowSortMap>
</worksheetSortMap>
</file>

<file path=xl/worksheets/wsSortMap5.xml><?xml version="1.0" encoding="utf-8"?>
<worksheetSortMap xmlns="http://schemas.microsoft.com/office/excel/2006/main">
  <rowSortMap ref="A10:XFD11" count="2">
    <row newVal="9" oldVal="10"/>
    <row newVal="10" oldVal="9"/>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Anand</vt:lpstr>
      <vt:lpstr>Gaurav</vt:lpstr>
      <vt:lpstr>Mohit</vt:lpstr>
      <vt:lpstr>Preeti</vt:lpstr>
      <vt:lpstr>Saanchi</vt:lpstr>
      <vt:lpstr>Saurabh Arora</vt:lpstr>
      <vt:lpstr>Sangeetha</vt:lpstr>
      <vt:lpstr>Gaurav Garg</vt:lpstr>
      <vt:lpstr>Data sheet</vt:lpstr>
      <vt:lpstr>Today's Deliveries</vt:lpstr>
      <vt:lpstr>Saurabh Yadav</vt:lpstr>
      <vt:lpstr>Workflow</vt:lpstr>
      <vt:lpstr>Top Project</vt:lpstr>
      <vt:lpstr>Sheet1</vt:lpstr>
      <vt:lpstr>Activity</vt:lpstr>
      <vt:lpstr>AdhocRequest</vt:lpstr>
      <vt:lpstr>Frequency</vt:lpstr>
      <vt:lpstr>KT</vt:lpstr>
      <vt:lpstr>Meeting</vt:lpstr>
      <vt:lpstr>MISC</vt:lpstr>
      <vt:lpstr>Project</vt:lpstr>
      <vt:lpstr>ProjectName</vt:lpstr>
      <vt:lpstr>ProjectPhase</vt:lpstr>
      <vt:lpstr>ProjMeeting</vt:lpstr>
      <vt:lpstr>Resources</vt:lpstr>
      <vt:lpstr>Review</vt:lpstr>
      <vt:lpstr>Status_Meeting</vt:lpstr>
    </vt:vector>
  </TitlesOfParts>
  <Company>CenturyLink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Srivastava Mayuri</cp:lastModifiedBy>
  <cp:lastPrinted>2015-01-15T10:33:23Z</cp:lastPrinted>
  <dcterms:created xsi:type="dcterms:W3CDTF">2015-01-15T07:41:49Z</dcterms:created>
  <dcterms:modified xsi:type="dcterms:W3CDTF">2016-06-22T12:22:25Z</dcterms:modified>
</cp:coreProperties>
</file>